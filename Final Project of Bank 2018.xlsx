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S EXCEL ASSIGNMENTS\"/>
    </mc:Choice>
  </mc:AlternateContent>
  <bookViews>
    <workbookView xWindow="0" yWindow="0" windowWidth="15360" windowHeight="7650"/>
  </bookViews>
  <sheets>
    <sheet name="MAIN SHEET" sheetId="20" r:id="rId1"/>
    <sheet name="SWITCH BOARD" sheetId="18" r:id="rId2"/>
    <sheet name="Bank Info" sheetId="1" r:id="rId3"/>
    <sheet name="Account Info" sheetId="2" r:id="rId4"/>
    <sheet name="Deposit Info" sheetId="3" r:id="rId5"/>
    <sheet name="Withdraw INfo" sheetId="4" r:id="rId6"/>
    <sheet name="Report of account info" sheetId="14" r:id="rId7"/>
    <sheet name="Report of deposit" sheetId="11" r:id="rId8"/>
    <sheet name="Report of withdraw" sheetId="15" r:id="rId9"/>
  </sheets>
  <definedNames>
    <definedName name="acac">'Account Info'!$E$7:$E$23</definedName>
    <definedName name="acinfo">'Account Info'!$E$6:$L$31</definedName>
    <definedName name="acno">'Account Info'!$E$6:$L$23</definedName>
    <definedName name="anac">'Account Info'!$E$6:$E$31</definedName>
    <definedName name="bkid">'Bank Info'!$D$7:$D$42</definedName>
    <definedName name="bkinfo">'Bank Info'!$D$7:$H$32</definedName>
    <definedName name="dein">'Deposit Info'!$E$7:$M$41</definedName>
    <definedName name="dpac">'Deposit Info'!$G$7:$G$31</definedName>
    <definedName name="dpam">'Deposit Info'!$L$7:$L$31</definedName>
    <definedName name="dpid">'Deposit Info'!$I:$I</definedName>
    <definedName name="tda">'Account Info'!$J$6:$J$31</definedName>
    <definedName name="twa">'Account Info'!$K$6:$K$31</definedName>
    <definedName name="wtac">'Withdraw INfo'!$G$6:$G$31</definedName>
    <definedName name="wtam">'Withdraw INfo'!$L$6:$L$31</definedName>
    <definedName name="wtinfo">'Withdraw INfo'!$E$6:$M$31</definedName>
  </definedNames>
  <calcPr calcId="162913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K8" i="2" l="1"/>
  <c r="K9" i="2"/>
  <c r="K10" i="2"/>
  <c r="K11" i="2"/>
  <c r="K12" i="2"/>
  <c r="K13" i="2"/>
  <c r="J7" i="2"/>
  <c r="J8" i="2"/>
  <c r="J9" i="2"/>
  <c r="J10" i="2"/>
  <c r="J11" i="2"/>
  <c r="J12" i="2"/>
  <c r="J13" i="2"/>
  <c r="L11" i="2" l="1"/>
  <c r="L10" i="2"/>
  <c r="L13" i="2"/>
  <c r="L9" i="2"/>
  <c r="L12" i="2"/>
  <c r="L8" i="2"/>
  <c r="K7" i="2"/>
  <c r="L7" i="2" s="1"/>
  <c r="E7" i="4" l="1"/>
  <c r="J15" i="3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8" i="1"/>
  <c r="E8" i="3" l="1"/>
  <c r="H8" i="3"/>
  <c r="I8" i="3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I7" i="2" l="1"/>
  <c r="K8" i="3" s="1"/>
  <c r="H7" i="2"/>
  <c r="I11" i="2"/>
  <c r="J8" i="3" l="1"/>
  <c r="K11" i="4"/>
  <c r="K12" i="3"/>
  <c r="I12" i="2"/>
  <c r="I8" i="2"/>
  <c r="H10" i="2"/>
  <c r="J7" i="4" s="1"/>
  <c r="H9" i="2"/>
  <c r="H11" i="2"/>
  <c r="H8" i="2"/>
  <c r="H13" i="2"/>
  <c r="I9" i="2"/>
  <c r="H12" i="2"/>
  <c r="I10" i="2"/>
  <c r="K7" i="4" s="1"/>
  <c r="I13" i="2"/>
  <c r="K11" i="3" l="1"/>
  <c r="K10" i="4"/>
  <c r="J8" i="4"/>
  <c r="J9" i="3"/>
  <c r="K9" i="3"/>
  <c r="K8" i="4"/>
  <c r="J12" i="4"/>
  <c r="J13" i="3"/>
  <c r="J11" i="4"/>
  <c r="J12" i="3"/>
  <c r="K13" i="3"/>
  <c r="K12" i="4"/>
  <c r="K10" i="3"/>
  <c r="K9" i="4"/>
  <c r="J9" i="4"/>
  <c r="J10" i="3"/>
  <c r="K13" i="4"/>
  <c r="K14" i="3"/>
  <c r="J13" i="4"/>
  <c r="J14" i="3"/>
  <c r="J10" i="4"/>
  <c r="J11" i="3"/>
</calcChain>
</file>

<file path=xl/sharedStrings.xml><?xml version="1.0" encoding="utf-8"?>
<sst xmlns="http://schemas.openxmlformats.org/spreadsheetml/2006/main" count="197" uniqueCount="54">
  <si>
    <t>Bank ID</t>
  </si>
  <si>
    <t>Bank Name</t>
  </si>
  <si>
    <t>Branch Name</t>
  </si>
  <si>
    <t>Branch Code</t>
  </si>
  <si>
    <t>Phone No.</t>
  </si>
  <si>
    <t>HBL</t>
  </si>
  <si>
    <t>UBL</t>
  </si>
  <si>
    <t>ABL</t>
  </si>
  <si>
    <t>SBL</t>
  </si>
  <si>
    <t>PBL</t>
  </si>
  <si>
    <t>MCB</t>
  </si>
  <si>
    <t>Deposit ID</t>
  </si>
  <si>
    <t>Deposit Date</t>
  </si>
  <si>
    <t>Account No.</t>
  </si>
  <si>
    <t>Account Type</t>
  </si>
  <si>
    <t>Total Deposit Amount</t>
  </si>
  <si>
    <t>Total Withdraw Amount</t>
  </si>
  <si>
    <t>Available Balance</t>
  </si>
  <si>
    <t>Current Account</t>
  </si>
  <si>
    <t>Saving Account</t>
  </si>
  <si>
    <t>Deposit Amount</t>
  </si>
  <si>
    <t>Mode of Payment</t>
  </si>
  <si>
    <t>Withdraw ID</t>
  </si>
  <si>
    <t>Withdraw Date</t>
  </si>
  <si>
    <t>Withdraw Amount</t>
  </si>
  <si>
    <t>JS</t>
  </si>
  <si>
    <t>CASH</t>
  </si>
  <si>
    <t>ONLINE</t>
  </si>
  <si>
    <t>CHEQUE</t>
  </si>
  <si>
    <t>(All)</t>
  </si>
  <si>
    <t>Sum of Deposit Amount</t>
  </si>
  <si>
    <t>Grand Total</t>
  </si>
  <si>
    <t>1-Sep</t>
  </si>
  <si>
    <t>3-Aug</t>
  </si>
  <si>
    <t>28-Jul</t>
  </si>
  <si>
    <t>26-Aug</t>
  </si>
  <si>
    <t>15-Sep</t>
  </si>
  <si>
    <t>20-Sep</t>
  </si>
  <si>
    <t>21-Sep</t>
  </si>
  <si>
    <t>Sum of Withdraw Amount</t>
  </si>
  <si>
    <t/>
  </si>
  <si>
    <t>(blank)</t>
  </si>
  <si>
    <t>Jannah Bazaar</t>
  </si>
  <si>
    <t>People's Colony</t>
  </si>
  <si>
    <t>Bank Square</t>
  </si>
  <si>
    <t>Gondlawala</t>
  </si>
  <si>
    <t>Model Towm</t>
  </si>
  <si>
    <t>Wapda Town</t>
  </si>
  <si>
    <t>Setlite Town</t>
  </si>
  <si>
    <t>Sum of Available Balance</t>
  </si>
  <si>
    <t>BANK INFORMATION</t>
  </si>
  <si>
    <t>DEPOSIT INFORMATION</t>
  </si>
  <si>
    <t>ACCOUNT INFORMATION</t>
  </si>
  <si>
    <t>WITHDRAW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</si>
</sst>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m/d/yy;@"/>
    <numFmt numFmtId="165" formatCode="[$-409]mmmm\ d\,\ yyyy;@"/>
    <numFmt numFmtId="166" formatCode="dd\-mmm\-yyyy"/>
    <numFmt numFmtId="167" formatCode="0###\-#######"/>
    <numFmt numFmtId="168" formatCode="[$Rs-420]\ #,##0"/>
    <numFmt numFmtId="169" formatCode="[$-409]d\-mmm\-yyyy;@"/>
    <numFmt numFmtId="170" formatCode="[$Rs-420]#,##0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191919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0" fontId="1" fillId="0" borderId="3" xfId="0" applyFont="1" applyBorder="1"/>
    <xf numFmtId="167" fontId="1" fillId="0" borderId="6" xfId="0" applyNumberFormat="1" applyFont="1" applyBorder="1"/>
    <xf numFmtId="166" fontId="1" fillId="0" borderId="0" xfId="0" applyNumberFormat="1" applyFont="1"/>
    <xf numFmtId="168" fontId="1" fillId="0" borderId="0" xfId="0" applyNumberFormat="1" applyFont="1"/>
    <xf numFmtId="165" fontId="1" fillId="0" borderId="0" xfId="0" applyNumberFormat="1" applyFont="1"/>
    <xf numFmtId="169" fontId="0" fillId="0" borderId="0" xfId="0" applyNumberFormat="1"/>
    <xf numFmtId="169" fontId="1" fillId="0" borderId="0" xfId="0" applyNumberFormat="1" applyFont="1"/>
    <xf numFmtId="0" fontId="1" fillId="0" borderId="4" xfId="0" applyFont="1" applyBorder="1"/>
    <xf numFmtId="166" fontId="1" fillId="0" borderId="5" xfId="0" applyNumberFormat="1" applyFont="1" applyBorder="1"/>
    <xf numFmtId="0" fontId="1" fillId="0" borderId="5" xfId="0" applyFont="1" applyBorder="1"/>
    <xf numFmtId="168" fontId="1" fillId="0" borderId="5" xfId="0" applyNumberFormat="1" applyFont="1" applyBorder="1"/>
    <xf numFmtId="168" fontId="1" fillId="0" borderId="6" xfId="0" applyNumberFormat="1" applyFont="1" applyBorder="1"/>
    <xf numFmtId="0" fontId="1" fillId="0" borderId="7" xfId="0" applyFont="1" applyBorder="1"/>
    <xf numFmtId="166" fontId="1" fillId="0" borderId="8" xfId="0" applyNumberFormat="1" applyFont="1" applyBorder="1"/>
    <xf numFmtId="0" fontId="1" fillId="0" borderId="8" xfId="0" applyFont="1" applyBorder="1"/>
    <xf numFmtId="168" fontId="1" fillId="0" borderId="8" xfId="0" applyNumberFormat="1" applyFont="1" applyBorder="1"/>
    <xf numFmtId="168" fontId="1" fillId="0" borderId="9" xfId="0" applyNumberFormat="1" applyFont="1" applyBorder="1"/>
    <xf numFmtId="0" fontId="1" fillId="0" borderId="11" xfId="0" applyFont="1" applyBorder="1"/>
    <xf numFmtId="166" fontId="1" fillId="0" borderId="10" xfId="0" applyNumberFormat="1" applyFont="1" applyBorder="1"/>
    <xf numFmtId="0" fontId="1" fillId="0" borderId="10" xfId="0" applyFont="1" applyBorder="1"/>
    <xf numFmtId="168" fontId="1" fillId="0" borderId="10" xfId="0" applyNumberFormat="1" applyFont="1" applyBorder="1"/>
    <xf numFmtId="168" fontId="1" fillId="0" borderId="12" xfId="0" applyNumberFormat="1" applyFont="1" applyBorder="1"/>
    <xf numFmtId="0" fontId="1" fillId="0" borderId="13" xfId="0" applyFont="1" applyBorder="1"/>
    <xf numFmtId="164" fontId="1" fillId="0" borderId="14" xfId="0" applyNumberFormat="1" applyFont="1" applyBorder="1"/>
    <xf numFmtId="0" fontId="1" fillId="0" borderId="14" xfId="0" applyFont="1" applyBorder="1"/>
    <xf numFmtId="0" fontId="1" fillId="0" borderId="15" xfId="0" applyFont="1" applyBorder="1"/>
    <xf numFmtId="169" fontId="1" fillId="0" borderId="5" xfId="0" applyNumberFormat="1" applyFont="1" applyBorder="1"/>
    <xf numFmtId="0" fontId="1" fillId="0" borderId="6" xfId="0" applyFont="1" applyBorder="1"/>
    <xf numFmtId="169" fontId="1" fillId="0" borderId="8" xfId="0" applyNumberFormat="1" applyFont="1" applyBorder="1"/>
    <xf numFmtId="0" fontId="1" fillId="0" borderId="9" xfId="0" applyFont="1" applyBorder="1"/>
    <xf numFmtId="169" fontId="1" fillId="0" borderId="10" xfId="0" applyNumberFormat="1" applyFont="1" applyBorder="1"/>
    <xf numFmtId="0" fontId="1" fillId="0" borderId="12" xfId="0" applyFont="1" applyBorder="1"/>
    <xf numFmtId="0" fontId="0" fillId="0" borderId="0" xfId="0" pivotButton="1"/>
    <xf numFmtId="0" fontId="0" fillId="0" borderId="0" xfId="0" applyNumberFormat="1"/>
    <xf numFmtId="0" fontId="1" fillId="0" borderId="0" xfId="0" applyNumberFormat="1" applyFont="1"/>
    <xf numFmtId="0" fontId="1" fillId="0" borderId="0" xfId="0" pivotButton="1" applyFont="1"/>
    <xf numFmtId="0" fontId="0" fillId="0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 wrapText="1" indent="2"/>
    </xf>
    <xf numFmtId="0" fontId="3" fillId="0" borderId="0" xfId="0" applyFont="1" applyAlignment="1">
      <alignment horizontal="right" vertical="center" wrapText="1" indent="2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7" fontId="1" fillId="0" borderId="9" xfId="0" applyNumberFormat="1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8" fontId="1" fillId="0" borderId="5" xfId="0" applyNumberFormat="1" applyFont="1" applyBorder="1" applyAlignment="1">
      <alignment horizontal="right"/>
    </xf>
    <xf numFmtId="170" fontId="1" fillId="0" borderId="5" xfId="0" applyNumberFormat="1" applyFont="1" applyBorder="1" applyAlignment="1">
      <alignment horizontal="right"/>
    </xf>
    <xf numFmtId="170" fontId="1" fillId="0" borderId="20" xfId="0" applyNumberFormat="1" applyFont="1" applyBorder="1" applyAlignment="1">
      <alignment horizontal="right"/>
    </xf>
    <xf numFmtId="0" fontId="1" fillId="0" borderId="21" xfId="0" applyFont="1" applyBorder="1"/>
    <xf numFmtId="0" fontId="1" fillId="0" borderId="22" xfId="0" applyFont="1" applyBorder="1"/>
    <xf numFmtId="168" fontId="1" fillId="0" borderId="22" xfId="0" applyNumberFormat="1" applyFont="1" applyBorder="1" applyAlignment="1">
      <alignment horizontal="right"/>
    </xf>
    <xf numFmtId="170" fontId="1" fillId="0" borderId="22" xfId="0" applyNumberFormat="1" applyFont="1" applyBorder="1" applyAlignment="1">
      <alignment horizontal="right"/>
    </xf>
    <xf numFmtId="170" fontId="1" fillId="0" borderId="23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09">
    <dxf>
      <font>
        <color rgb="FF9C0006"/>
      </font>
    </dxf>
    <dxf>
      <font>
        <color rgb="FF9C0006"/>
      </font>
    </dxf>
    <dxf>
      <numFmt numFmtId="0" formatCode="General"/>
    </dxf>
    <dxf>
      <numFmt numFmtId="170" formatCode="[$Rs-420]#,##0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8586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Deposit Info'!A1"/><Relationship Id="rId7" Type="http://schemas.openxmlformats.org/officeDocument/2006/relationships/hyperlink" Target="#'SWITCH BOARD'!A1"/><Relationship Id="rId2" Type="http://schemas.openxmlformats.org/officeDocument/2006/relationships/hyperlink" Target="#'Bank Info'!A1"/><Relationship Id="rId1" Type="http://schemas.openxmlformats.org/officeDocument/2006/relationships/hyperlink" Target="#'MAIN SHEET'!A1"/><Relationship Id="rId6" Type="http://schemas.openxmlformats.org/officeDocument/2006/relationships/hyperlink" Target="#'Account Info'!A1"/><Relationship Id="rId5" Type="http://schemas.openxmlformats.org/officeDocument/2006/relationships/hyperlink" Target="#'Report of account info'!A1"/><Relationship Id="rId4" Type="http://schemas.openxmlformats.org/officeDocument/2006/relationships/hyperlink" Target="#'Report of deposi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SWITCH BOARD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SWITCH BOARD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SWITCH BOARD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SWITCH BOARD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SWITCH BOARD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SWITCH BOARD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SWITCH BOARD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581024</xdr:colOff>
      <xdr:row>0</xdr:row>
      <xdr:rowOff>19050</xdr:rowOff>
    </xdr:from>
    <xdr:to>
      <xdr:col>14</xdr:col>
      <xdr:colOff>514349</xdr:colOff>
      <xdr:row>31</xdr:row>
      <xdr:rowOff>9525</xdr:rowOff>
    </xdr:to>
    <xdr:sp macro="" textlink="">
      <xdr:nvSpPr>
        <xdr:cNvPr id="5123" name="Text Box 138"/>
        <xdr:cNvSpPr txBox="1">
          <a:spLocks noChangeArrowheads="1"/>
        </xdr:cNvSpPr>
      </xdr:nvSpPr>
      <xdr:spPr bwMode="auto">
        <a:xfrm>
          <a:off x="5457824" y="19050"/>
          <a:ext cx="3590925" cy="63055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4400" b="1" i="1" u="sng" strike="noStrike" baseline="0">
              <a:solidFill>
                <a:srgbClr val="191919"/>
              </a:solidFill>
              <a:latin typeface="Calibri"/>
            </a:rPr>
            <a:t>BANK SHEET PROJECT</a:t>
          </a:r>
          <a:endParaRPr lang="en-US" sz="4400" b="1" i="1" u="sng" strike="noStrike" baseline="0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alibri"/>
            </a:rPr>
            <a:t>[PROJECT]</a:t>
          </a:r>
          <a:endParaRPr lang="en-US" sz="1100" b="1" i="0" u="none" strike="noStrike" baseline="0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44546A"/>
              </a:solidFill>
              <a:latin typeface="Calibri"/>
            </a:rPr>
            <a:t>[S4B0434]</a:t>
          </a:r>
          <a:endParaRPr lang="en-US" sz="1100" b="1" i="0" u="none" strike="noStrike" baseline="0">
            <a:solidFill>
              <a:srgbClr val="000000"/>
            </a:solidFill>
            <a:latin typeface="Calibri"/>
          </a:endParaRP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 </a:t>
          </a:r>
        </a:p>
      </xdr:txBody>
    </xdr:sp>
    <xdr:clientData/>
  </xdr:twoCellAnchor>
  <xdr:twoCellAnchor>
    <xdr:from>
      <xdr:col>0</xdr:col>
      <xdr:colOff>38102</xdr:colOff>
      <xdr:row>0</xdr:row>
      <xdr:rowOff>0</xdr:rowOff>
    </xdr:from>
    <xdr:to>
      <xdr:col>8</xdr:col>
      <xdr:colOff>428626</xdr:colOff>
      <xdr:row>30</xdr:row>
      <xdr:rowOff>161925</xdr:rowOff>
    </xdr:to>
    <xdr:pic>
      <xdr:nvPicPr>
        <xdr:cNvPr id="16" name="Picture 15" descr="A picture of a winding road and trees" title="Road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2" y="0"/>
          <a:ext cx="5267324" cy="628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38099</xdr:rowOff>
    </xdr:from>
    <xdr:to>
      <xdr:col>9</xdr:col>
      <xdr:colOff>476250</xdr:colOff>
      <xdr:row>12</xdr:row>
      <xdr:rowOff>104775</xdr:rowOff>
    </xdr:to>
    <xdr:sp macro="" textlink="">
      <xdr:nvSpPr>
        <xdr:cNvPr id="3" name="Rounded Rectangular Callout 2"/>
        <xdr:cNvSpPr/>
      </xdr:nvSpPr>
      <xdr:spPr>
        <a:xfrm>
          <a:off x="2286000" y="609599"/>
          <a:ext cx="3676650" cy="1781176"/>
        </a:xfrm>
        <a:prstGeom prst="wedgeRoundRectCallou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4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SWITCH BOARD</a:t>
          </a:r>
        </a:p>
      </xdr:txBody>
    </xdr:sp>
    <xdr:clientData/>
  </xdr:twoCellAnchor>
  <xdr:twoCellAnchor>
    <xdr:from>
      <xdr:col>5</xdr:col>
      <xdr:colOff>495300</xdr:colOff>
      <xdr:row>20</xdr:row>
      <xdr:rowOff>133350</xdr:rowOff>
    </xdr:from>
    <xdr:to>
      <xdr:col>7</xdr:col>
      <xdr:colOff>285750</xdr:colOff>
      <xdr:row>22</xdr:row>
      <xdr:rowOff>133350</xdr:rowOff>
    </xdr:to>
    <xdr:sp macro="" textlink="">
      <xdr:nvSpPr>
        <xdr:cNvPr id="5" name="Left-Right Arrow 4"/>
        <xdr:cNvSpPr/>
      </xdr:nvSpPr>
      <xdr:spPr>
        <a:xfrm>
          <a:off x="3543300" y="3943350"/>
          <a:ext cx="1009650" cy="381000"/>
        </a:xfrm>
        <a:prstGeom prst="leftRightArrow">
          <a:avLst/>
        </a:prstGeom>
        <a:solidFill>
          <a:schemeClr val="bg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17</xdr:row>
      <xdr:rowOff>49531</xdr:rowOff>
    </xdr:from>
    <xdr:to>
      <xdr:col>5</xdr:col>
      <xdr:colOff>190500</xdr:colOff>
      <xdr:row>25</xdr:row>
      <xdr:rowOff>66675</xdr:rowOff>
    </xdr:to>
    <xdr:sp macro="" textlink="">
      <xdr:nvSpPr>
        <xdr:cNvPr id="6" name="Vertical Scroll 5">
          <a:hlinkClick xmlns:r="http://schemas.openxmlformats.org/officeDocument/2006/relationships" r:id="rId1" tooltip="PLEASE CLICK HERE"/>
        </xdr:cNvPr>
        <xdr:cNvSpPr/>
      </xdr:nvSpPr>
      <xdr:spPr>
        <a:xfrm>
          <a:off x="1847850" y="3288031"/>
          <a:ext cx="1390650" cy="1541144"/>
        </a:xfrm>
        <a:prstGeom prst="verticalScroll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MAIN</a:t>
          </a:r>
          <a:r>
            <a:rPr lang="en-US" sz="2400" b="1"/>
            <a:t> </a:t>
          </a:r>
          <a:r>
            <a:rPr lang="en-US" sz="2400" b="1">
              <a:solidFill>
                <a:schemeClr val="tx1"/>
              </a:solidFill>
            </a:rPr>
            <a:t>SHEET</a:t>
          </a:r>
        </a:p>
      </xdr:txBody>
    </xdr:sp>
    <xdr:clientData/>
  </xdr:twoCellAnchor>
  <xdr:twoCellAnchor>
    <xdr:from>
      <xdr:col>7</xdr:col>
      <xdr:colOff>590550</xdr:colOff>
      <xdr:row>18</xdr:row>
      <xdr:rowOff>28575</xdr:rowOff>
    </xdr:from>
    <xdr:to>
      <xdr:col>10</xdr:col>
      <xdr:colOff>152400</xdr:colOff>
      <xdr:row>26</xdr:row>
      <xdr:rowOff>45719</xdr:rowOff>
    </xdr:to>
    <xdr:sp macro="" textlink="">
      <xdr:nvSpPr>
        <xdr:cNvPr id="7" name="Vertical Scroll 6">
          <a:hlinkClick xmlns:r="http://schemas.openxmlformats.org/officeDocument/2006/relationships" r:id="rId2" tooltip="CLICK HERE"/>
        </xdr:cNvPr>
        <xdr:cNvSpPr/>
      </xdr:nvSpPr>
      <xdr:spPr>
        <a:xfrm>
          <a:off x="4857750" y="3457575"/>
          <a:ext cx="1390650" cy="1541144"/>
        </a:xfrm>
        <a:prstGeom prst="verticalScroll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chemeClr val="tx1"/>
              </a:solidFill>
            </a:rPr>
            <a:t>BANK</a:t>
          </a:r>
          <a:r>
            <a:rPr lang="en-US" sz="2400" b="1" baseline="0">
              <a:solidFill>
                <a:schemeClr val="tx1"/>
              </a:solidFill>
            </a:rPr>
            <a:t> INFO</a:t>
          </a:r>
          <a:endParaRPr 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190500</xdr:colOff>
      <xdr:row>41</xdr:row>
      <xdr:rowOff>19050</xdr:rowOff>
    </xdr:from>
    <xdr:to>
      <xdr:col>4</xdr:col>
      <xdr:colOff>361950</xdr:colOff>
      <xdr:row>49</xdr:row>
      <xdr:rowOff>36194</xdr:rowOff>
    </xdr:to>
    <xdr:sp macro="" textlink="">
      <xdr:nvSpPr>
        <xdr:cNvPr id="8" name="Vertical Scroll 7">
          <a:hlinkClick xmlns:r="http://schemas.openxmlformats.org/officeDocument/2006/relationships" r:id="rId3" tooltip="CLICK HERE"/>
        </xdr:cNvPr>
        <xdr:cNvSpPr/>
      </xdr:nvSpPr>
      <xdr:spPr>
        <a:xfrm>
          <a:off x="1409700" y="7829550"/>
          <a:ext cx="1390650" cy="1541144"/>
        </a:xfrm>
        <a:prstGeom prst="verticalScroll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DEPOSIT INFO</a:t>
          </a:r>
        </a:p>
      </xdr:txBody>
    </xdr:sp>
    <xdr:clientData/>
  </xdr:twoCellAnchor>
  <xdr:twoCellAnchor>
    <xdr:from>
      <xdr:col>7</xdr:col>
      <xdr:colOff>171450</xdr:colOff>
      <xdr:row>43</xdr:row>
      <xdr:rowOff>38100</xdr:rowOff>
    </xdr:from>
    <xdr:to>
      <xdr:col>9</xdr:col>
      <xdr:colOff>342900</xdr:colOff>
      <xdr:row>51</xdr:row>
      <xdr:rowOff>55244</xdr:rowOff>
    </xdr:to>
    <xdr:sp macro="" textlink="">
      <xdr:nvSpPr>
        <xdr:cNvPr id="9" name="Vertical Scroll 8">
          <a:hlinkClick xmlns:r="http://schemas.openxmlformats.org/officeDocument/2006/relationships" r:id="rId4" tooltip="CLICK HERE"/>
        </xdr:cNvPr>
        <xdr:cNvSpPr/>
      </xdr:nvSpPr>
      <xdr:spPr>
        <a:xfrm>
          <a:off x="4438650" y="8229600"/>
          <a:ext cx="1390650" cy="1541144"/>
        </a:xfrm>
        <a:prstGeom prst="verticalScroll">
          <a:avLst/>
        </a:prstGeom>
        <a:solidFill>
          <a:schemeClr val="bg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REPORT's</a:t>
          </a:r>
          <a:r>
            <a:rPr lang="en-US" sz="1600" b="1" baseline="0"/>
            <a:t> OF DEPOSIT</a:t>
          </a:r>
          <a:endParaRPr lang="en-US" sz="1600" b="1"/>
        </a:p>
      </xdr:txBody>
    </xdr:sp>
    <xdr:clientData/>
  </xdr:twoCellAnchor>
  <xdr:twoCellAnchor>
    <xdr:from>
      <xdr:col>7</xdr:col>
      <xdr:colOff>466725</xdr:colOff>
      <xdr:row>30</xdr:row>
      <xdr:rowOff>142875</xdr:rowOff>
    </xdr:from>
    <xdr:to>
      <xdr:col>10</xdr:col>
      <xdr:colOff>28575</xdr:colOff>
      <xdr:row>38</xdr:row>
      <xdr:rowOff>160019</xdr:rowOff>
    </xdr:to>
    <xdr:sp macro="" textlink="">
      <xdr:nvSpPr>
        <xdr:cNvPr id="10" name="Vertical Scroll 9">
          <a:hlinkClick xmlns:r="http://schemas.openxmlformats.org/officeDocument/2006/relationships" r:id="rId5" tooltip="CLICK HERE"/>
        </xdr:cNvPr>
        <xdr:cNvSpPr/>
      </xdr:nvSpPr>
      <xdr:spPr>
        <a:xfrm>
          <a:off x="4733925" y="5857875"/>
          <a:ext cx="1390650" cy="1541144"/>
        </a:xfrm>
        <a:prstGeom prst="verticalScroll">
          <a:avLst/>
        </a:prstGeom>
        <a:solidFill>
          <a:schemeClr val="accent3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REPORT's</a:t>
          </a:r>
          <a:r>
            <a:rPr lang="en-US" sz="1400" b="1" baseline="0"/>
            <a:t> OF ACCOUNTS</a:t>
          </a:r>
          <a:endParaRPr lang="en-US" sz="1400" b="1"/>
        </a:p>
      </xdr:txBody>
    </xdr:sp>
    <xdr:clientData/>
  </xdr:twoCellAnchor>
  <xdr:twoCellAnchor>
    <xdr:from>
      <xdr:col>2</xdr:col>
      <xdr:colOff>466725</xdr:colOff>
      <xdr:row>30</xdr:row>
      <xdr:rowOff>9525</xdr:rowOff>
    </xdr:from>
    <xdr:to>
      <xdr:col>5</xdr:col>
      <xdr:colOff>28575</xdr:colOff>
      <xdr:row>38</xdr:row>
      <xdr:rowOff>26669</xdr:rowOff>
    </xdr:to>
    <xdr:sp macro="" textlink="">
      <xdr:nvSpPr>
        <xdr:cNvPr id="11" name="Vertical Scroll 10">
          <a:hlinkClick xmlns:r="http://schemas.openxmlformats.org/officeDocument/2006/relationships" r:id="rId6" tooltip="CLICK HERE"/>
        </xdr:cNvPr>
        <xdr:cNvSpPr/>
      </xdr:nvSpPr>
      <xdr:spPr>
        <a:xfrm>
          <a:off x="1685925" y="5724525"/>
          <a:ext cx="1390650" cy="1541144"/>
        </a:xfrm>
        <a:prstGeom prst="verticalScroll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ACCOUNT</a:t>
          </a:r>
          <a:r>
            <a:rPr lang="en-US" sz="1600" b="1" baseline="0"/>
            <a:t> INFO</a:t>
          </a:r>
          <a:endParaRPr lang="en-US" sz="1600" b="1"/>
        </a:p>
      </xdr:txBody>
    </xdr:sp>
    <xdr:clientData/>
  </xdr:twoCellAnchor>
  <xdr:twoCellAnchor>
    <xdr:from>
      <xdr:col>4</xdr:col>
      <xdr:colOff>600075</xdr:colOff>
      <xdr:row>44</xdr:row>
      <xdr:rowOff>19050</xdr:rowOff>
    </xdr:from>
    <xdr:to>
      <xdr:col>6</xdr:col>
      <xdr:colOff>390525</xdr:colOff>
      <xdr:row>46</xdr:row>
      <xdr:rowOff>19050</xdr:rowOff>
    </xdr:to>
    <xdr:sp macro="" textlink="">
      <xdr:nvSpPr>
        <xdr:cNvPr id="16" name="Left-Right Arrow 15"/>
        <xdr:cNvSpPr/>
      </xdr:nvSpPr>
      <xdr:spPr>
        <a:xfrm>
          <a:off x="3038475" y="8401050"/>
          <a:ext cx="1009650" cy="381000"/>
        </a:xfrm>
        <a:prstGeom prst="leftRightArrow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276225</xdr:colOff>
      <xdr:row>32</xdr:row>
      <xdr:rowOff>57150</xdr:rowOff>
    </xdr:from>
    <xdr:to>
      <xdr:col>7</xdr:col>
      <xdr:colOff>66675</xdr:colOff>
      <xdr:row>34</xdr:row>
      <xdr:rowOff>57150</xdr:rowOff>
    </xdr:to>
    <xdr:sp macro="" textlink="">
      <xdr:nvSpPr>
        <xdr:cNvPr id="17" name="Left-Right Arrow 16"/>
        <xdr:cNvSpPr/>
      </xdr:nvSpPr>
      <xdr:spPr>
        <a:xfrm>
          <a:off x="3324225" y="6153150"/>
          <a:ext cx="1009650" cy="381000"/>
        </a:xfrm>
        <a:prstGeom prst="leftRightArrow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333375</xdr:colOff>
      <xdr:row>54</xdr:row>
      <xdr:rowOff>85725</xdr:rowOff>
    </xdr:from>
    <xdr:to>
      <xdr:col>3</xdr:col>
      <xdr:colOff>504825</xdr:colOff>
      <xdr:row>62</xdr:row>
      <xdr:rowOff>102869</xdr:rowOff>
    </xdr:to>
    <xdr:sp macro="" textlink="">
      <xdr:nvSpPr>
        <xdr:cNvPr id="21" name="Vertical Scroll 20">
          <a:hlinkClick xmlns:r="http://schemas.openxmlformats.org/officeDocument/2006/relationships" r:id="rId7" tooltip="CLICK HERE"/>
        </xdr:cNvPr>
        <xdr:cNvSpPr/>
      </xdr:nvSpPr>
      <xdr:spPr>
        <a:xfrm>
          <a:off x="942975" y="10372725"/>
          <a:ext cx="1390650" cy="1541144"/>
        </a:xfrm>
        <a:prstGeom prst="verticalScroll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WITHDRAW INFO</a:t>
          </a:r>
        </a:p>
      </xdr:txBody>
    </xdr:sp>
    <xdr:clientData/>
  </xdr:twoCellAnchor>
  <xdr:twoCellAnchor>
    <xdr:from>
      <xdr:col>6</xdr:col>
      <xdr:colOff>342900</xdr:colOff>
      <xdr:row>56</xdr:row>
      <xdr:rowOff>9525</xdr:rowOff>
    </xdr:from>
    <xdr:to>
      <xdr:col>8</xdr:col>
      <xdr:colOff>514350</xdr:colOff>
      <xdr:row>64</xdr:row>
      <xdr:rowOff>26669</xdr:rowOff>
    </xdr:to>
    <xdr:sp macro="" textlink="">
      <xdr:nvSpPr>
        <xdr:cNvPr id="22" name="Vertical Scroll 21">
          <a:hlinkClick xmlns:r="http://schemas.openxmlformats.org/officeDocument/2006/relationships" r:id="rId7" tooltip="CLICK HERE"/>
        </xdr:cNvPr>
        <xdr:cNvSpPr/>
      </xdr:nvSpPr>
      <xdr:spPr>
        <a:xfrm>
          <a:off x="4000500" y="10677525"/>
          <a:ext cx="1390650" cy="1541144"/>
        </a:xfrm>
        <a:prstGeom prst="verticalScroll">
          <a:avLst/>
        </a:prstGeom>
        <a:solidFill>
          <a:schemeClr val="tx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REPORT's OF WITHDRAW</a:t>
          </a:r>
        </a:p>
      </xdr:txBody>
    </xdr:sp>
    <xdr:clientData/>
  </xdr:twoCellAnchor>
  <xdr:twoCellAnchor>
    <xdr:from>
      <xdr:col>4</xdr:col>
      <xdr:colOff>190500</xdr:colOff>
      <xdr:row>56</xdr:row>
      <xdr:rowOff>142875</xdr:rowOff>
    </xdr:from>
    <xdr:to>
      <xdr:col>5</xdr:col>
      <xdr:colOff>590550</xdr:colOff>
      <xdr:row>58</xdr:row>
      <xdr:rowOff>142875</xdr:rowOff>
    </xdr:to>
    <xdr:sp macro="" textlink="">
      <xdr:nvSpPr>
        <xdr:cNvPr id="23" name="Left-Right Arrow 22"/>
        <xdr:cNvSpPr/>
      </xdr:nvSpPr>
      <xdr:spPr>
        <a:xfrm>
          <a:off x="2628900" y="10810875"/>
          <a:ext cx="1009650" cy="381000"/>
        </a:xfrm>
        <a:prstGeom prst="leftRightArrow">
          <a:avLst/>
        </a:prstGeom>
        <a:solidFill>
          <a:schemeClr val="bg2">
            <a:lumMod val="2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</xdr:row>
      <xdr:rowOff>9525</xdr:rowOff>
    </xdr:from>
    <xdr:to>
      <xdr:col>2</xdr:col>
      <xdr:colOff>333375</xdr:colOff>
      <xdr:row>10</xdr:row>
      <xdr:rowOff>123825</xdr:rowOff>
    </xdr:to>
    <xdr:sp macro="" textlink="">
      <xdr:nvSpPr>
        <xdr:cNvPr id="4" name="Flowchart: Predefined Process 3">
          <a:hlinkClick xmlns:r="http://schemas.openxmlformats.org/officeDocument/2006/relationships" r:id="rId1" tooltip="CLICK HERE"/>
        </xdr:cNvPr>
        <xdr:cNvSpPr/>
      </xdr:nvSpPr>
      <xdr:spPr>
        <a:xfrm>
          <a:off x="152400" y="1162050"/>
          <a:ext cx="1400175" cy="885825"/>
        </a:xfrm>
        <a:prstGeom prst="flowChartPredefinedProcess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002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chemeClr val="bg1"/>
              </a:solidFill>
            </a:rPr>
            <a:t>SWITCH</a:t>
          </a:r>
          <a:r>
            <a:rPr lang="en-US" sz="2000" baseline="0">
              <a:solidFill>
                <a:schemeClr val="bg1"/>
              </a:solidFill>
            </a:rPr>
            <a:t> BOARD</a:t>
          </a:r>
          <a:endParaRPr lang="en-US" sz="20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4</xdr:row>
      <xdr:rowOff>190500</xdr:rowOff>
    </xdr:from>
    <xdr:to>
      <xdr:col>3</xdr:col>
      <xdr:colOff>190500</xdr:colOff>
      <xdr:row>10</xdr:row>
      <xdr:rowOff>76200</xdr:rowOff>
    </xdr:to>
    <xdr:sp macro="" textlink="">
      <xdr:nvSpPr>
        <xdr:cNvPr id="2" name="Flowchart: Predefined Process 1">
          <a:hlinkClick xmlns:r="http://schemas.openxmlformats.org/officeDocument/2006/relationships" r:id="rId1"/>
        </xdr:cNvPr>
        <xdr:cNvSpPr/>
      </xdr:nvSpPr>
      <xdr:spPr>
        <a:xfrm>
          <a:off x="419100" y="952500"/>
          <a:ext cx="1600200" cy="1047750"/>
        </a:xfrm>
        <a:prstGeom prst="flowChartPredefinedProcess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SWITCH BOARD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5</xdr:row>
      <xdr:rowOff>180975</xdr:rowOff>
    </xdr:from>
    <xdr:to>
      <xdr:col>3</xdr:col>
      <xdr:colOff>180975</xdr:colOff>
      <xdr:row>10</xdr:row>
      <xdr:rowOff>180975</xdr:rowOff>
    </xdr:to>
    <xdr:sp macro="" textlink="">
      <xdr:nvSpPr>
        <xdr:cNvPr id="2" name="Flowchart: Predefined Process 1">
          <a:hlinkClick xmlns:r="http://schemas.openxmlformats.org/officeDocument/2006/relationships" r:id="rId1" tooltip="CLICK HERE"/>
        </xdr:cNvPr>
        <xdr:cNvSpPr/>
      </xdr:nvSpPr>
      <xdr:spPr>
        <a:xfrm>
          <a:off x="400050" y="1133475"/>
          <a:ext cx="1609725" cy="990600"/>
        </a:xfrm>
        <a:prstGeom prst="flowChartPredefinedProcess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SWITCH BOARD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4</xdr:row>
      <xdr:rowOff>190499</xdr:rowOff>
    </xdr:from>
    <xdr:to>
      <xdr:col>3</xdr:col>
      <xdr:colOff>209550</xdr:colOff>
      <xdr:row>10</xdr:row>
      <xdr:rowOff>9524</xdr:rowOff>
    </xdr:to>
    <xdr:sp macro="" textlink="">
      <xdr:nvSpPr>
        <xdr:cNvPr id="2" name="Flowchart: Predefined Process 1">
          <a:hlinkClick xmlns:r="http://schemas.openxmlformats.org/officeDocument/2006/relationships" r:id="rId1" tooltip="CLICK HERE"/>
        </xdr:cNvPr>
        <xdr:cNvSpPr/>
      </xdr:nvSpPr>
      <xdr:spPr>
        <a:xfrm>
          <a:off x="409575" y="952499"/>
          <a:ext cx="1628775" cy="1000125"/>
        </a:xfrm>
        <a:prstGeom prst="flowChartPredefinedProcess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001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SWITCH BOARD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246530</xdr:colOff>
      <xdr:row>4</xdr:row>
      <xdr:rowOff>112059</xdr:rowOff>
    </xdr:from>
    <xdr:ext cx="3779672" cy="100853"/>
    <xdr:sp macro="" textlink="">
      <xdr:nvSpPr>
        <xdr:cNvPr id="2" name="Rectangle 1"/>
        <xdr:cNvSpPr/>
      </xdr:nvSpPr>
      <xdr:spPr>
        <a:xfrm>
          <a:off x="3148854" y="874059"/>
          <a:ext cx="3779672" cy="100853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sz="54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REPORT's</a:t>
          </a:r>
          <a:r>
            <a:rPr lang="en-US" sz="5400" b="1" cap="none" spc="0" baseline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rPr>
            <a:t> OF ACCOUNT</a:t>
          </a:r>
        </a:p>
        <a:p>
          <a:pPr algn="ctr"/>
          <a:endParaRPr lang="en-US" sz="5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pattFill prst="dkUpDiag">
              <a:fgClr>
                <a:schemeClr val="tx2"/>
              </a:fgClr>
              <a:bgClr>
                <a:schemeClr val="tx2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405849</xdr:colOff>
      <xdr:row>6</xdr:row>
      <xdr:rowOff>190499</xdr:rowOff>
    </xdr:from>
    <xdr:to>
      <xdr:col>3</xdr:col>
      <xdr:colOff>207066</xdr:colOff>
      <xdr:row>11</xdr:row>
      <xdr:rowOff>140804</xdr:rowOff>
    </xdr:to>
    <xdr:sp macro="" textlink="">
      <xdr:nvSpPr>
        <xdr:cNvPr id="3" name="Flowchart: Predefined Process 2">
          <a:hlinkClick xmlns:r="http://schemas.openxmlformats.org/officeDocument/2006/relationships" r:id="rId1" tooltip="CLICK HERE"/>
        </xdr:cNvPr>
        <xdr:cNvSpPr/>
      </xdr:nvSpPr>
      <xdr:spPr>
        <a:xfrm>
          <a:off x="405849" y="1333499"/>
          <a:ext cx="1639956" cy="902805"/>
        </a:xfrm>
        <a:prstGeom prst="flowChartPredefinedProcess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003">
          <a:schemeClr val="dk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SWITCH BOARD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807454</xdr:colOff>
      <xdr:row>0</xdr:row>
      <xdr:rowOff>66676</xdr:rowOff>
    </xdr:from>
    <xdr:ext cx="4309641" cy="990599"/>
    <xdr:sp macro="" textlink="">
      <xdr:nvSpPr>
        <xdr:cNvPr id="2" name="Rectangle 1"/>
        <xdr:cNvSpPr/>
      </xdr:nvSpPr>
      <xdr:spPr>
        <a:xfrm>
          <a:off x="4446004" y="66676"/>
          <a:ext cx="4309641" cy="990599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en-US" sz="5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pattFill prst="dkUpDiag">
              <a:fgClr>
                <a:schemeClr val="tx2"/>
              </a:fgClr>
              <a:bgClr>
                <a:schemeClr val="tx2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390525</xdr:colOff>
      <xdr:row>1</xdr:row>
      <xdr:rowOff>76199</xdr:rowOff>
    </xdr:from>
    <xdr:ext cx="1745245" cy="838201"/>
    <xdr:sp macro="" textlink="">
      <xdr:nvSpPr>
        <xdr:cNvPr id="3" name="Rectangle 2"/>
        <xdr:cNvSpPr/>
      </xdr:nvSpPr>
      <xdr:spPr>
        <a:xfrm>
          <a:off x="5181600" y="266699"/>
          <a:ext cx="1745245" cy="83820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REPORT's</a:t>
          </a:r>
          <a:r>
            <a:rPr lang="en-US" sz="5400" b="1" cap="none" spc="0" baseline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 OF DEPOSIT</a:t>
          </a:r>
          <a:r>
            <a:rPr lang="en-US" sz="5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 </a:t>
          </a:r>
        </a:p>
      </xdr:txBody>
    </xdr:sp>
    <xdr:clientData/>
  </xdr:oneCellAnchor>
  <xdr:twoCellAnchor>
    <xdr:from>
      <xdr:col>0</xdr:col>
      <xdr:colOff>409575</xdr:colOff>
      <xdr:row>7</xdr:row>
      <xdr:rowOff>180975</xdr:rowOff>
    </xdr:from>
    <xdr:to>
      <xdr:col>3</xdr:col>
      <xdr:colOff>190500</xdr:colOff>
      <xdr:row>13</xdr:row>
      <xdr:rowOff>9525</xdr:rowOff>
    </xdr:to>
    <xdr:sp macro="" textlink="">
      <xdr:nvSpPr>
        <xdr:cNvPr id="4" name="Flowchart: Predefined Process 3">
          <a:hlinkClick xmlns:r="http://schemas.openxmlformats.org/officeDocument/2006/relationships" r:id="rId1" tooltip="CLICK HERE"/>
        </xdr:cNvPr>
        <xdr:cNvSpPr/>
      </xdr:nvSpPr>
      <xdr:spPr>
        <a:xfrm>
          <a:off x="409575" y="1514475"/>
          <a:ext cx="1609725" cy="971550"/>
        </a:xfrm>
        <a:prstGeom prst="flowChartPredefinedProcess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002">
          <a:schemeClr val="dk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SWITCH BOARD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0</xdr:row>
      <xdr:rowOff>57150</xdr:rowOff>
    </xdr:from>
    <xdr:ext cx="8553450" cy="714375"/>
    <xdr:sp macro="" textlink="">
      <xdr:nvSpPr>
        <xdr:cNvPr id="2" name="Rectangle 1"/>
        <xdr:cNvSpPr/>
      </xdr:nvSpPr>
      <xdr:spPr>
        <a:xfrm>
          <a:off x="1238250" y="57150"/>
          <a:ext cx="8553450" cy="7143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REPORT's</a:t>
          </a:r>
          <a:r>
            <a:rPr lang="en-US" sz="5400" b="1" cap="none" spc="0" baseline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 OF WITHDRAW</a:t>
          </a:r>
          <a:endParaRPr lang="en-US" sz="54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oneCellAnchor>
  <xdr:twoCellAnchor>
    <xdr:from>
      <xdr:col>0</xdr:col>
      <xdr:colOff>428625</xdr:colOff>
      <xdr:row>7</xdr:row>
      <xdr:rowOff>19050</xdr:rowOff>
    </xdr:from>
    <xdr:to>
      <xdr:col>3</xdr:col>
      <xdr:colOff>200025</xdr:colOff>
      <xdr:row>11</xdr:row>
      <xdr:rowOff>180975</xdr:rowOff>
    </xdr:to>
    <xdr:sp macro="" textlink="">
      <xdr:nvSpPr>
        <xdr:cNvPr id="3" name="Flowchart: Predefined Process 2">
          <a:hlinkClick xmlns:r="http://schemas.openxmlformats.org/officeDocument/2006/relationships" r:id="rId1" tooltip="CLICK HERE"/>
        </xdr:cNvPr>
        <xdr:cNvSpPr/>
      </xdr:nvSpPr>
      <xdr:spPr>
        <a:xfrm>
          <a:off x="428625" y="1352550"/>
          <a:ext cx="1600200" cy="923925"/>
        </a:xfrm>
        <a:prstGeom prst="flowChartPredefinedProcess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002">
          <a:schemeClr val="dk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SWITCH 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4b0434" refreshedDate="43370.221052199071" createdVersion="6" refreshedVersion="6" minRefreshableVersion="3" recordCount="17">
  <cacheSource type="worksheet">
    <worksheetSource name="acno"/>
  </cacheSource>
  <cacheFields count="8">
    <cacheField name="Account No." numFmtId="0">
      <sharedItems containsString="0" containsBlank="1" containsNumber="1" containsInteger="1" minValue="10428549634" maxValue="10428962104" count="8">
        <n v="10428692110"/>
        <n v="10428962104"/>
        <n v="10428943525"/>
        <n v="10428643629"/>
        <n v="10428952865"/>
        <n v="10428549634"/>
        <n v="10428695648"/>
        <m/>
      </sharedItems>
    </cacheField>
    <cacheField name="Account Type" numFmtId="0">
      <sharedItems containsBlank="1" count="3">
        <s v="Current Account"/>
        <s v="Saving Account"/>
        <m/>
      </sharedItems>
    </cacheField>
    <cacheField name="Bank ID" numFmtId="0">
      <sharedItems containsString="0" containsBlank="1" containsNumber="1" containsInteger="1" minValue="1" maxValue="7" count="8">
        <n v="1"/>
        <n v="2"/>
        <n v="3"/>
        <n v="4"/>
        <n v="5"/>
        <n v="6"/>
        <n v="7"/>
        <m/>
      </sharedItems>
    </cacheField>
    <cacheField name="Bank Name" numFmtId="0">
      <sharedItems count="8">
        <s v="HBL"/>
        <s v="UBL"/>
        <s v="ABL"/>
        <s v="SBL"/>
        <s v="PBL"/>
        <s v="MCB"/>
        <s v="JS"/>
        <s v=""/>
      </sharedItems>
    </cacheField>
    <cacheField name="Branch Name" numFmtId="0">
      <sharedItems count="15">
        <s v="Jannah Bazaar"/>
        <s v="People's Colony"/>
        <s v="Bank Square"/>
        <s v="Wapda Town"/>
        <s v="Model Towm"/>
        <s v="Setlite Town"/>
        <s v="Gondlawala"/>
        <s v=""/>
        <s v="Sailkot" u="1"/>
        <s v="Lahore" u="1"/>
        <s v="Islamabad" u="1"/>
        <s v="Gujranwala" u="1"/>
        <s v="Hafizabad" u="1"/>
        <s v="Gujrat" u="1"/>
        <s v="Faisalabad" u="1"/>
      </sharedItems>
    </cacheField>
    <cacheField name="Total Deposit Amount" numFmtId="0">
      <sharedItems containsString="0" containsBlank="1" containsNumber="1" containsInteger="1" minValue="12000" maxValue="60000" count="8">
        <n v="60000"/>
        <n v="45000"/>
        <n v="35000"/>
        <n v="25000"/>
        <n v="20000"/>
        <n v="17000"/>
        <n v="12000"/>
        <m/>
      </sharedItems>
    </cacheField>
    <cacheField name="Total Withdraw Amount" numFmtId="0">
      <sharedItems containsString="0" containsBlank="1" containsNumber="1" containsInteger="1" minValue="0" maxValue="50000" count="9">
        <n v="50000"/>
        <n v="35000"/>
        <n v="22000"/>
        <n v="16000"/>
        <n v="13000"/>
        <n v="10000"/>
        <n v="5000"/>
        <m/>
        <n v="0" u="1"/>
      </sharedItems>
    </cacheField>
    <cacheField name="Available Balance" numFmtId="0">
      <sharedItems containsString="0" containsBlank="1" containsNumber="1" containsInteger="1" minValue="7000" maxValue="1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4b0434" refreshedDate="43370.221631365741" createdVersion="6" refreshedVersion="6" minRefreshableVersion="3" recordCount="34">
  <cacheSource type="worksheet">
    <worksheetSource name="dein"/>
  </cacheSource>
  <cacheFields count="9">
    <cacheField name="Deposit ID" numFmtId="0">
      <sharedItems containsMixedTypes="1" containsNumber="1" containsInteger="1" minValue="581" maxValue="587" count="8">
        <n v="581"/>
        <n v="582"/>
        <n v="583"/>
        <n v="584"/>
        <n v="585"/>
        <n v="586"/>
        <n v="587"/>
        <s v=""/>
      </sharedItems>
    </cacheField>
    <cacheField name="Deposit Date" numFmtId="166">
      <sharedItems containsNonDate="0" containsDate="1" containsString="0" containsBlank="1" minDate="2018-01-01T00:00:00" maxDate="2018-09-24T00:00:00" count="8">
        <d v="2018-01-01T00:00:00"/>
        <d v="2018-05-02T00:00:00"/>
        <d v="2018-04-06T00:00:00"/>
        <d v="2018-06-05T00:00:00"/>
        <d v="2018-08-10T00:00:00"/>
        <d v="2018-09-19T00:00:00"/>
        <d v="2018-09-23T00:00:00"/>
        <m/>
      </sharedItems>
    </cacheField>
    <cacheField name="Account No." numFmtId="0">
      <sharedItems containsString="0" containsBlank="1" containsNumber="1" containsInteger="1" minValue="10428549634" maxValue="10428962104" count="8">
        <n v="10428692110"/>
        <n v="10428962104"/>
        <n v="10428943525"/>
        <n v="10428643629"/>
        <n v="10428952865"/>
        <n v="10428549634"/>
        <n v="10428695648"/>
        <m/>
      </sharedItems>
    </cacheField>
    <cacheField name="Account Type" numFmtId="0">
      <sharedItems count="3">
        <s v="Current Account"/>
        <s v="Saving Account"/>
        <s v=""/>
      </sharedItems>
    </cacheField>
    <cacheField name="Bank ID" numFmtId="0">
      <sharedItems containsMixedTypes="1" containsNumber="1" containsInteger="1" minValue="1" maxValue="7" count="8">
        <n v="1"/>
        <n v="2"/>
        <n v="3"/>
        <n v="4"/>
        <n v="5"/>
        <n v="6"/>
        <n v="7"/>
        <s v=""/>
      </sharedItems>
    </cacheField>
    <cacheField name="Bank Name" numFmtId="0">
      <sharedItems count="8">
        <s v="HBL"/>
        <s v="UBL"/>
        <s v="ABL"/>
        <s v="SBL"/>
        <s v="PBL"/>
        <s v="MCB"/>
        <s v="JS"/>
        <s v=""/>
      </sharedItems>
    </cacheField>
    <cacheField name="Branch Name" numFmtId="0">
      <sharedItems count="15">
        <s v="Jannah Bazaar"/>
        <s v="People's Colony"/>
        <s v="Bank Square"/>
        <s v="Wapda Town"/>
        <s v="Model Towm"/>
        <s v="Setlite Town"/>
        <s v="Gondlawala"/>
        <s v=""/>
        <s v="Sailkot" u="1"/>
        <s v="Lahore" u="1"/>
        <s v="Islamabad" u="1"/>
        <s v="Gujranwala" u="1"/>
        <s v="Hafizabad" u="1"/>
        <s v="Gujrat" u="1"/>
        <s v="Faisalabad" u="1"/>
      </sharedItems>
    </cacheField>
    <cacheField name="Deposit Amount" numFmtId="168">
      <sharedItems containsString="0" containsBlank="1" containsNumber="1" containsInteger="1" minValue="12000" maxValue="60000" count="8">
        <n v="60000"/>
        <n v="45000"/>
        <n v="35000"/>
        <n v="25000"/>
        <n v="20000"/>
        <n v="17000"/>
        <n v="12000"/>
        <m/>
      </sharedItems>
    </cacheField>
    <cacheField name="Mode of Payment" numFmtId="168">
      <sharedItems containsBlank="1" count="4">
        <s v="CASH"/>
        <s v="ONLINE"/>
        <s v="CHEQU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4b0434" refreshedDate="43370.22515972222" createdVersion="6" refreshedVersion="6" minRefreshableVersion="3" recordCount="25">
  <cacheSource type="worksheet">
    <worksheetSource name="=wtinfo"/>
  </cacheSource>
  <cacheFields count="10">
    <cacheField name="Withdraw ID" numFmtId="0">
      <sharedItems containsMixedTypes="1" containsNumber="1" containsInteger="1" minValue="65" maxValue="71" count="8">
        <n v="65"/>
        <n v="66"/>
        <n v="67"/>
        <n v="68"/>
        <n v="69"/>
        <n v="70"/>
        <n v="71"/>
        <s v=""/>
      </sharedItems>
    </cacheField>
    <cacheField name="Withdraw Date" numFmtId="169">
      <sharedItems containsNonDate="0" containsDate="1" containsString="0" containsBlank="1" minDate="2018-07-28T00:00:00" maxDate="2018-09-22T00:00:00" count="8">
        <d v="2018-09-01T00:00:00"/>
        <d v="2018-08-03T00:00:00"/>
        <d v="2018-07-28T00:00:00"/>
        <d v="2018-08-26T00:00:00"/>
        <d v="2018-09-15T00:00:00"/>
        <d v="2018-09-20T00:00:00"/>
        <d v="2018-09-21T00:00:00"/>
        <m/>
      </sharedItems>
      <fieldGroup par="9" base="1">
        <rangePr groupBy="days" startDate="2018-07-28T00:00:00" endDate="2018-09-22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22/2018"/>
        </groupItems>
      </fieldGroup>
    </cacheField>
    <cacheField name="Account No." numFmtId="0">
      <sharedItems containsString="0" containsBlank="1" containsNumber="1" containsInteger="1" minValue="10428549634" maxValue="10428962104" count="8">
        <n v="10428692110"/>
        <n v="10428962104"/>
        <n v="10428943525"/>
        <n v="10428643629"/>
        <n v="10428952865"/>
        <n v="10428549634"/>
        <n v="10428695648"/>
        <m/>
      </sharedItems>
    </cacheField>
    <cacheField name="Account Type" numFmtId="0">
      <sharedItems count="3">
        <s v="Current Account"/>
        <s v="Saving Account"/>
        <s v=""/>
      </sharedItems>
    </cacheField>
    <cacheField name="Bank ID" numFmtId="0">
      <sharedItems containsMixedTypes="1" containsNumber="1" containsInteger="1" minValue="1" maxValue="7" count="8">
        <n v="1"/>
        <n v="2"/>
        <n v="3"/>
        <n v="4"/>
        <n v="5"/>
        <n v="6"/>
        <n v="7"/>
        <s v=""/>
      </sharedItems>
    </cacheField>
    <cacheField name="Bank Name" numFmtId="0">
      <sharedItems count="8">
        <s v="HBL"/>
        <s v="UBL"/>
        <s v="ABL"/>
        <s v="SBL"/>
        <s v="PBL"/>
        <s v="MCB"/>
        <s v="JS"/>
        <s v=""/>
      </sharedItems>
    </cacheField>
    <cacheField name="Branch Name" numFmtId="0">
      <sharedItems count="8">
        <s v="Jannah Bazaar"/>
        <s v="People's Colony"/>
        <s v="Bank Square"/>
        <s v="Wapda Town"/>
        <s v="Model Towm"/>
        <s v="Setlite Town"/>
        <s v="Gondlawala"/>
        <s v=""/>
      </sharedItems>
    </cacheField>
    <cacheField name="Withdraw Amount" numFmtId="168">
      <sharedItems containsString="0" containsBlank="1" containsNumber="1" containsInteger="1" minValue="5000" maxValue="50000"/>
    </cacheField>
    <cacheField name="Mode of Payment" numFmtId="0">
      <sharedItems containsBlank="1" count="4">
        <s v="CHEQUE"/>
        <s v="CASH"/>
        <s v="ONLINE"/>
        <m/>
      </sharedItems>
    </cacheField>
    <cacheField name="Months" numFmtId="0" databaseField="0">
      <fieldGroup base="1">
        <rangePr groupBy="months" startDate="2018-07-28T00:00:00" endDate="2018-09-22T00:00:00"/>
        <groupItems count="14">
          <s v="&lt;7/28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x v="0"/>
    <x v="0"/>
    <x v="0"/>
    <x v="0"/>
    <n v="10000"/>
  </r>
  <r>
    <x v="1"/>
    <x v="1"/>
    <x v="1"/>
    <x v="1"/>
    <x v="1"/>
    <x v="1"/>
    <x v="1"/>
    <n v="10000"/>
  </r>
  <r>
    <x v="2"/>
    <x v="0"/>
    <x v="2"/>
    <x v="2"/>
    <x v="2"/>
    <x v="2"/>
    <x v="2"/>
    <n v="13000"/>
  </r>
  <r>
    <x v="3"/>
    <x v="1"/>
    <x v="3"/>
    <x v="3"/>
    <x v="3"/>
    <x v="3"/>
    <x v="3"/>
    <n v="9000"/>
  </r>
  <r>
    <x v="4"/>
    <x v="0"/>
    <x v="4"/>
    <x v="4"/>
    <x v="4"/>
    <x v="4"/>
    <x v="4"/>
    <n v="7000"/>
  </r>
  <r>
    <x v="5"/>
    <x v="1"/>
    <x v="5"/>
    <x v="5"/>
    <x v="5"/>
    <x v="5"/>
    <x v="5"/>
    <n v="7000"/>
  </r>
  <r>
    <x v="6"/>
    <x v="0"/>
    <x v="6"/>
    <x v="6"/>
    <x v="6"/>
    <x v="6"/>
    <x v="6"/>
    <n v="7000"/>
  </r>
  <r>
    <x v="7"/>
    <x v="2"/>
    <x v="7"/>
    <x v="7"/>
    <x v="7"/>
    <x v="7"/>
    <x v="7"/>
    <m/>
  </r>
  <r>
    <x v="7"/>
    <x v="2"/>
    <x v="7"/>
    <x v="7"/>
    <x v="7"/>
    <x v="7"/>
    <x v="7"/>
    <m/>
  </r>
  <r>
    <x v="7"/>
    <x v="2"/>
    <x v="7"/>
    <x v="7"/>
    <x v="7"/>
    <x v="7"/>
    <x v="7"/>
    <m/>
  </r>
  <r>
    <x v="7"/>
    <x v="2"/>
    <x v="7"/>
    <x v="7"/>
    <x v="7"/>
    <x v="7"/>
    <x v="7"/>
    <m/>
  </r>
  <r>
    <x v="7"/>
    <x v="2"/>
    <x v="7"/>
    <x v="7"/>
    <x v="7"/>
    <x v="7"/>
    <x v="7"/>
    <m/>
  </r>
  <r>
    <x v="7"/>
    <x v="2"/>
    <x v="7"/>
    <x v="7"/>
    <x v="7"/>
    <x v="7"/>
    <x v="7"/>
    <m/>
  </r>
  <r>
    <x v="7"/>
    <x v="2"/>
    <x v="7"/>
    <x v="7"/>
    <x v="7"/>
    <x v="7"/>
    <x v="7"/>
    <m/>
  </r>
  <r>
    <x v="7"/>
    <x v="2"/>
    <x v="7"/>
    <x v="7"/>
    <x v="7"/>
    <x v="7"/>
    <x v="7"/>
    <m/>
  </r>
  <r>
    <x v="7"/>
    <x v="2"/>
    <x v="7"/>
    <x v="7"/>
    <x v="7"/>
    <x v="7"/>
    <x v="7"/>
    <m/>
  </r>
  <r>
    <x v="7"/>
    <x v="2"/>
    <x v="7"/>
    <x v="7"/>
    <x v="7"/>
    <x v="7"/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4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0"/>
    <x v="2"/>
    <x v="2"/>
    <x v="2"/>
    <x v="2"/>
    <x v="2"/>
  </r>
  <r>
    <x v="3"/>
    <x v="3"/>
    <x v="3"/>
    <x v="1"/>
    <x v="3"/>
    <x v="3"/>
    <x v="3"/>
    <x v="3"/>
    <x v="1"/>
  </r>
  <r>
    <x v="4"/>
    <x v="4"/>
    <x v="4"/>
    <x v="0"/>
    <x v="4"/>
    <x v="4"/>
    <x v="4"/>
    <x v="4"/>
    <x v="0"/>
  </r>
  <r>
    <x v="5"/>
    <x v="5"/>
    <x v="5"/>
    <x v="1"/>
    <x v="5"/>
    <x v="5"/>
    <x v="5"/>
    <x v="5"/>
    <x v="2"/>
  </r>
  <r>
    <x v="6"/>
    <x v="6"/>
    <x v="6"/>
    <x v="0"/>
    <x v="6"/>
    <x v="6"/>
    <x v="6"/>
    <x v="6"/>
    <x v="0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  <r>
    <x v="7"/>
    <x v="7"/>
    <x v="7"/>
    <x v="2"/>
    <x v="7"/>
    <x v="7"/>
    <x v="7"/>
    <x v="7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  <x v="0"/>
    <x v="0"/>
    <n v="50000"/>
    <x v="0"/>
  </r>
  <r>
    <x v="1"/>
    <x v="1"/>
    <x v="1"/>
    <x v="1"/>
    <x v="1"/>
    <x v="1"/>
    <x v="1"/>
    <n v="35000"/>
    <x v="1"/>
  </r>
  <r>
    <x v="2"/>
    <x v="2"/>
    <x v="2"/>
    <x v="0"/>
    <x v="2"/>
    <x v="2"/>
    <x v="2"/>
    <n v="22000"/>
    <x v="2"/>
  </r>
  <r>
    <x v="3"/>
    <x v="3"/>
    <x v="3"/>
    <x v="1"/>
    <x v="3"/>
    <x v="3"/>
    <x v="3"/>
    <n v="16000"/>
    <x v="1"/>
  </r>
  <r>
    <x v="4"/>
    <x v="4"/>
    <x v="4"/>
    <x v="0"/>
    <x v="4"/>
    <x v="4"/>
    <x v="4"/>
    <n v="13000"/>
    <x v="2"/>
  </r>
  <r>
    <x v="5"/>
    <x v="5"/>
    <x v="5"/>
    <x v="1"/>
    <x v="5"/>
    <x v="5"/>
    <x v="5"/>
    <n v="10000"/>
    <x v="0"/>
  </r>
  <r>
    <x v="6"/>
    <x v="6"/>
    <x v="6"/>
    <x v="0"/>
    <x v="6"/>
    <x v="6"/>
    <x v="6"/>
    <n v="5000"/>
    <x v="2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  <r>
    <x v="7"/>
    <x v="7"/>
    <x v="7"/>
    <x v="2"/>
    <x v="7"/>
    <x v="7"/>
    <x v="7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8:J17" firstHeaderRow="1" firstDataRow="1" firstDataCol="5" rowPageCount="1" colPageCount="1"/>
  <pivotFields count="8">
    <pivotField axis="axisPage" compact="0" outline="0" showAll="0" defaultSubtotal="0">
      <items count="8">
        <item x="5"/>
        <item x="3"/>
        <item x="0"/>
        <item x="6"/>
        <item x="2"/>
        <item x="4"/>
        <item x="1"/>
        <item x="7"/>
      </items>
    </pivotField>
    <pivotField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8">
        <item x="7"/>
        <item x="2"/>
        <item x="0"/>
        <item x="6"/>
        <item x="5"/>
        <item x="4"/>
        <item x="3"/>
        <item x="1"/>
      </items>
    </pivotField>
    <pivotField axis="axisRow" compact="0" outline="0" showAll="0" defaultSubtotal="0">
      <items count="15">
        <item x="7"/>
        <item m="1" x="14"/>
        <item m="1" x="11"/>
        <item m="1" x="13"/>
        <item m="1" x="12"/>
        <item m="1" x="10"/>
        <item m="1" x="9"/>
        <item m="1" x="8"/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8">
        <item x="7"/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9">
        <item m="1" x="8"/>
        <item x="7"/>
        <item x="0"/>
        <item x="1"/>
        <item x="2"/>
        <item x="3"/>
        <item x="4"/>
        <item x="5"/>
        <item x="6"/>
      </items>
    </pivotField>
    <pivotField dataField="1" compact="0" outline="0" showAll="0" defaultSubtotal="0"/>
  </pivotFields>
  <rowFields count="5">
    <field x="2"/>
    <field x="3"/>
    <field x="4"/>
    <field x="5"/>
    <field x="6"/>
  </rowFields>
  <rowItems count="9">
    <i>
      <x/>
      <x v="2"/>
      <x v="8"/>
      <x v="1"/>
      <x v="2"/>
    </i>
    <i>
      <x v="1"/>
      <x v="7"/>
      <x v="9"/>
      <x v="2"/>
      <x v="3"/>
    </i>
    <i>
      <x v="2"/>
      <x v="1"/>
      <x v="10"/>
      <x v="3"/>
      <x v="4"/>
    </i>
    <i>
      <x v="3"/>
      <x v="6"/>
      <x v="11"/>
      <x v="4"/>
      <x v="5"/>
    </i>
    <i>
      <x v="4"/>
      <x v="5"/>
      <x v="12"/>
      <x v="5"/>
      <x v="6"/>
    </i>
    <i>
      <x v="5"/>
      <x v="4"/>
      <x v="13"/>
      <x v="6"/>
      <x v="7"/>
    </i>
    <i>
      <x v="6"/>
      <x v="3"/>
      <x v="14"/>
      <x v="7"/>
      <x v="8"/>
    </i>
    <i>
      <x v="7"/>
      <x/>
      <x/>
      <x/>
      <x v="1"/>
    </i>
    <i t="grand">
      <x/>
    </i>
  </rowItems>
  <colItems count="1">
    <i/>
  </colItems>
  <pageFields count="1">
    <pageField fld="0" hier="-1"/>
  </pageFields>
  <dataFields count="1">
    <dataField name="Sum of Available Balance" fld="7" baseField="2" baseItem="0"/>
  </dataFields>
  <formats count="44">
    <format dxfId="108">
      <pivotArea dataOnly="0" outline="0" fieldPosition="0">
        <references count="5">
          <reference field="2" count="7">
            <x v="0"/>
            <x v="1"/>
            <x v="2"/>
            <x v="3"/>
            <x v="4"/>
            <x v="5"/>
            <x v="6"/>
          </reference>
          <reference field="3" count="0" defaultSubtotal="1" sumSubtotal="1" countASubtotal="1" avgSubtotal="1" maxSubtotal="1" minSubtotal="1" productSubtotal="1" countSubtotal="1" stdDevSubtotal="1" stdDevPSubtotal="1" varSubtotal="1" varPSubtotal="1"/>
          <reference field="4" count="0" defaultSubtotal="1" sumSubtotal="1" countASubtotal="1" avgSubtotal="1" maxSubtotal="1" minSubtotal="1" productSubtotal="1" countSubtotal="1" stdDevSubtotal="1" stdDevPSubtotal="1" varSubtotal="1" varPSubtotal="1"/>
          <reference field="5" count="0" defaultSubtotal="1" sumSubtotal="1" countASubtotal="1" avgSubtotal="1" maxSubtotal="1" minSubtotal="1" productSubtotal="1" countSubtotal="1" stdDevSubtotal="1" stdDevPSubtotal="1" varSubtotal="1" varPSubtotal="1"/>
          <reference field="6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" type="button" dataOnly="0" labelOnly="1" outline="0" axis="axisRow" fieldPosition="0"/>
    </format>
    <format dxfId="104">
      <pivotArea field="3" type="button" dataOnly="0" labelOnly="1" outline="0" axis="axisRow" fieldPosition="1"/>
    </format>
    <format dxfId="103">
      <pivotArea field="4" type="button" dataOnly="0" labelOnly="1" outline="0" axis="axisRow" fieldPosition="2"/>
    </format>
    <format dxfId="102">
      <pivotArea field="5" type="button" dataOnly="0" labelOnly="1" outline="0" axis="axisRow" fieldPosition="3"/>
    </format>
    <format dxfId="101">
      <pivotArea field="6" type="button" dataOnly="0" labelOnly="1" outline="0" axis="axisRow" fieldPosition="4"/>
    </format>
    <format dxfId="100">
      <pivotArea dataOnly="0" labelOnly="1" outline="0" axis="axisValues" fieldPosition="0"/>
    </format>
    <format dxfId="99">
      <pivotArea dataOnly="0" labelOnly="1" outline="0" fieldPosition="0">
        <references count="1">
          <reference field="2" count="0"/>
        </references>
      </pivotArea>
    </format>
    <format dxfId="98">
      <pivotArea dataOnly="0" labelOnly="1" grandRow="1" outline="0" fieldPosition="0"/>
    </format>
    <format dxfId="97">
      <pivotArea dataOnly="0" labelOnly="1" outline="0" fieldPosition="0">
        <references count="2">
          <reference field="2" count="1" selected="0">
            <x v="0"/>
          </reference>
          <reference field="3" count="1">
            <x v="2"/>
          </reference>
        </references>
      </pivotArea>
    </format>
    <format dxfId="96">
      <pivotArea dataOnly="0" labelOnly="1" outline="0" fieldPosition="0">
        <references count="2">
          <reference field="2" count="1" selected="0">
            <x v="1"/>
          </reference>
          <reference field="3" count="1">
            <x v="7"/>
          </reference>
        </references>
      </pivotArea>
    </format>
    <format dxfId="95">
      <pivotArea dataOnly="0" labelOnly="1" outline="0" fieldPosition="0">
        <references count="2">
          <reference field="2" count="1" selected="0">
            <x v="2"/>
          </reference>
          <reference field="3" count="1">
            <x v="1"/>
          </reference>
        </references>
      </pivotArea>
    </format>
    <format dxfId="94">
      <pivotArea dataOnly="0" labelOnly="1" outline="0" fieldPosition="0">
        <references count="2">
          <reference field="2" count="1" selected="0">
            <x v="3"/>
          </reference>
          <reference field="3" count="1">
            <x v="6"/>
          </reference>
        </references>
      </pivotArea>
    </format>
    <format dxfId="93">
      <pivotArea dataOnly="0" labelOnly="1" outline="0" fieldPosition="0">
        <references count="2">
          <reference field="2" count="1" selected="0">
            <x v="4"/>
          </reference>
          <reference field="3" count="1">
            <x v="5"/>
          </reference>
        </references>
      </pivotArea>
    </format>
    <format dxfId="92">
      <pivotArea dataOnly="0" labelOnly="1" outline="0" fieldPosition="0">
        <references count="2">
          <reference field="2" count="1" selected="0">
            <x v="5"/>
          </reference>
          <reference field="3" count="1">
            <x v="4"/>
          </reference>
        </references>
      </pivotArea>
    </format>
    <format dxfId="91">
      <pivotArea dataOnly="0" labelOnly="1" outline="0" fieldPosition="0">
        <references count="2">
          <reference field="2" count="1" selected="0">
            <x v="6"/>
          </reference>
          <reference field="3" count="1">
            <x v="3"/>
          </reference>
        </references>
      </pivotArea>
    </format>
    <format dxfId="90">
      <pivotArea dataOnly="0" labelOnly="1" outline="0" fieldPosition="0">
        <references count="2">
          <reference field="2" count="1" selected="0">
            <x v="7"/>
          </reference>
          <reference field="3" count="1">
            <x v="0"/>
          </reference>
        </references>
      </pivotArea>
    </format>
    <format dxfId="89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2"/>
          </reference>
          <reference field="4" count="1">
            <x v="8"/>
          </reference>
        </references>
      </pivotArea>
    </format>
    <format dxfId="88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7"/>
          </reference>
          <reference field="4" count="1">
            <x v="9"/>
          </reference>
        </references>
      </pivotArea>
    </format>
    <format dxfId="87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1"/>
          </reference>
          <reference field="4" count="1">
            <x v="10"/>
          </reference>
        </references>
      </pivotArea>
    </format>
    <format dxfId="86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6"/>
          </reference>
          <reference field="4" count="1">
            <x v="11"/>
          </reference>
        </references>
      </pivotArea>
    </format>
    <format dxfId="85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5"/>
          </reference>
          <reference field="4" count="1">
            <x v="12"/>
          </reference>
        </references>
      </pivotArea>
    </format>
    <format dxfId="84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4"/>
          </reference>
          <reference field="4" count="1">
            <x v="13"/>
          </reference>
        </references>
      </pivotArea>
    </format>
    <format dxfId="83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3"/>
          </reference>
          <reference field="4" count="1">
            <x v="14"/>
          </reference>
        </references>
      </pivotArea>
    </format>
    <format dxfId="82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81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2"/>
          </reference>
          <reference field="4" count="1" selected="0">
            <x v="8"/>
          </reference>
          <reference field="5" count="1">
            <x v="1"/>
          </reference>
        </references>
      </pivotArea>
    </format>
    <format dxfId="8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7"/>
          </reference>
          <reference field="4" count="1" selected="0">
            <x v="9"/>
          </reference>
          <reference field="5" count="1">
            <x v="2"/>
          </reference>
        </references>
      </pivotArea>
    </format>
    <format dxfId="79">
      <pivotArea dataOnly="0" labelOnly="1" outline="0" fieldPosition="0">
        <references count="4">
          <reference field="2" count="1" selected="0">
            <x v="2"/>
          </reference>
          <reference field="3" count="1" selected="0">
            <x v="1"/>
          </reference>
          <reference field="4" count="1" selected="0">
            <x v="10"/>
          </reference>
          <reference field="5" count="1">
            <x v="3"/>
          </reference>
        </references>
      </pivotArea>
    </format>
    <format dxfId="78">
      <pivotArea dataOnly="0" labelOnly="1" outline="0" fieldPosition="0">
        <references count="4">
          <reference field="2" count="1" selected="0">
            <x v="3"/>
          </reference>
          <reference field="3" count="1" selected="0">
            <x v="6"/>
          </reference>
          <reference field="4" count="1" selected="0">
            <x v="11"/>
          </reference>
          <reference field="5" count="1">
            <x v="4"/>
          </reference>
        </references>
      </pivotArea>
    </format>
    <format dxfId="77">
      <pivotArea dataOnly="0" labelOnly="1" outline="0" fieldPosition="0">
        <references count="4">
          <reference field="2" count="1" selected="0">
            <x v="4"/>
          </reference>
          <reference field="3" count="1" selected="0">
            <x v="5"/>
          </reference>
          <reference field="4" count="1" selected="0">
            <x v="12"/>
          </reference>
          <reference field="5" count="1">
            <x v="5"/>
          </reference>
        </references>
      </pivotArea>
    </format>
    <format dxfId="76">
      <pivotArea dataOnly="0" labelOnly="1" outline="0" fieldPosition="0">
        <references count="4">
          <reference field="2" count="1" selected="0">
            <x v="5"/>
          </reference>
          <reference field="3" count="1" selected="0">
            <x v="4"/>
          </reference>
          <reference field="4" count="1" selected="0">
            <x v="13"/>
          </reference>
          <reference field="5" count="1">
            <x v="6"/>
          </reference>
        </references>
      </pivotArea>
    </format>
    <format dxfId="75">
      <pivotArea dataOnly="0" labelOnly="1" outline="0" fieldPosition="0">
        <references count="4">
          <reference field="2" count="1" selected="0">
            <x v="6"/>
          </reference>
          <reference field="3" count="1" selected="0">
            <x v="3"/>
          </reference>
          <reference field="4" count="1" selected="0">
            <x v="14"/>
          </reference>
          <reference field="5" count="1">
            <x v="7"/>
          </reference>
        </references>
      </pivotArea>
    </format>
    <format dxfId="74">
      <pivotArea dataOnly="0" labelOnly="1" outline="0" fieldPosition="0">
        <references count="4">
          <reference field="2" count="1" selected="0">
            <x v="7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7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2"/>
          </reference>
          <reference field="4" count="1" selected="0">
            <x v="8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72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7"/>
          </reference>
          <reference field="4" count="1" selected="0">
            <x v="9"/>
          </reference>
          <reference field="5" count="1" selected="0">
            <x v="2"/>
          </reference>
          <reference field="6" count="1">
            <x v="3"/>
          </reference>
        </references>
      </pivotArea>
    </format>
    <format dxfId="71">
      <pivotArea dataOnly="0" labelOnly="1" outline="0" fieldPosition="0">
        <references count="5">
          <reference field="2" count="1" selected="0">
            <x v="2"/>
          </reference>
          <reference field="3" count="1" selected="0">
            <x v="1"/>
          </reference>
          <reference field="4" count="1" selected="0">
            <x v="10"/>
          </reference>
          <reference field="5" count="1" selected="0">
            <x v="3"/>
          </reference>
          <reference field="6" count="1">
            <x v="4"/>
          </reference>
        </references>
      </pivotArea>
    </format>
    <format dxfId="70">
      <pivotArea dataOnly="0" labelOnly="1" outline="0" fieldPosition="0">
        <references count="5">
          <reference field="2" count="1" selected="0">
            <x v="3"/>
          </reference>
          <reference field="3" count="1" selected="0">
            <x v="6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5"/>
          </reference>
        </references>
      </pivotArea>
    </format>
    <format dxfId="69">
      <pivotArea dataOnly="0" labelOnly="1" outline="0" fieldPosition="0">
        <references count="5">
          <reference field="2" count="1" selected="0">
            <x v="4"/>
          </reference>
          <reference field="3" count="1" selected="0">
            <x v="5"/>
          </reference>
          <reference field="4" count="1" selected="0">
            <x v="12"/>
          </reference>
          <reference field="5" count="1" selected="0">
            <x v="5"/>
          </reference>
          <reference field="6" count="1">
            <x v="6"/>
          </reference>
        </references>
      </pivotArea>
    </format>
    <format dxfId="68">
      <pivotArea dataOnly="0" labelOnly="1" outline="0" fieldPosition="0">
        <references count="5">
          <reference field="2" count="1" selected="0">
            <x v="5"/>
          </reference>
          <reference field="3" count="1" selected="0">
            <x v="4"/>
          </reference>
          <reference field="4" count="1" selected="0">
            <x v="13"/>
          </reference>
          <reference field="5" count="1" selected="0">
            <x v="6"/>
          </reference>
          <reference field="6" count="1">
            <x v="7"/>
          </reference>
        </references>
      </pivotArea>
    </format>
    <format dxfId="67">
      <pivotArea dataOnly="0" labelOnly="1" outline="0" fieldPosition="0">
        <references count="5">
          <reference field="2" count="1" selected="0">
            <x v="6"/>
          </reference>
          <reference field="3" count="1" selected="0">
            <x v="3"/>
          </reference>
          <reference field="4" count="1" selected="0">
            <x v="14"/>
          </reference>
          <reference field="5" count="1" selected="0">
            <x v="7"/>
          </reference>
          <reference field="6" count="1">
            <x v="8"/>
          </reference>
        </references>
      </pivotArea>
    </format>
    <format dxfId="66">
      <pivotArea dataOnly="0" labelOnly="1" outline="0" fieldPosition="0">
        <references count="5">
          <reference field="2" count="1" selected="0">
            <x v="7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1"/>
          </reference>
        </references>
      </pivotArea>
    </format>
    <format dxfId="65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9:L18" firstHeaderRow="1" firstDataRow="1" firstDataCol="7" rowPageCount="1" colPageCount="1"/>
  <pivotFields count="9"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numFmtId="166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outline="0" showAll="0" defaultSubtotal="0">
      <items count="8">
        <item x="5"/>
        <item x="3"/>
        <item x="0"/>
        <item x="6"/>
        <item x="2"/>
        <item x="4"/>
        <item x="1"/>
        <item x="7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8">
        <item x="2"/>
        <item x="0"/>
        <item x="6"/>
        <item x="5"/>
        <item x="4"/>
        <item x="3"/>
        <item x="1"/>
        <item x="7"/>
      </items>
    </pivotField>
    <pivotField axis="axisRow" compact="0" outline="0" showAll="0" defaultSubtotal="0">
      <items count="15">
        <item m="1" x="14"/>
        <item m="1" x="11"/>
        <item m="1" x="13"/>
        <item m="1" x="12"/>
        <item m="1" x="10"/>
        <item m="1" x="9"/>
        <item m="1" x="8"/>
        <item x="0"/>
        <item x="1"/>
        <item x="2"/>
        <item x="3"/>
        <item x="4"/>
        <item x="5"/>
        <item x="6"/>
        <item x="7"/>
      </items>
    </pivotField>
    <pivotField dataField="1" compact="0" numFmtId="168" outline="0" showAll="0" defaultSubtotal="0">
      <items count="8">
        <item x="6"/>
        <item x="5"/>
        <item x="4"/>
        <item x="3"/>
        <item x="2"/>
        <item x="1"/>
        <item x="0"/>
        <item x="7"/>
      </items>
    </pivotField>
    <pivotField axis="axisRow" compact="0" outline="0" showAll="0" defaultSubtotal="0">
      <items count="4">
        <item x="0"/>
        <item x="2"/>
        <item x="1"/>
        <item x="3"/>
      </items>
    </pivotField>
  </pivotFields>
  <rowFields count="7">
    <field x="0"/>
    <field x="1"/>
    <field x="3"/>
    <field x="4"/>
    <field x="5"/>
    <field x="6"/>
    <field x="8"/>
  </rowFields>
  <rowItems count="9">
    <i>
      <x/>
      <x/>
      <x/>
      <x/>
      <x v="1"/>
      <x v="7"/>
      <x/>
    </i>
    <i>
      <x v="1"/>
      <x v="1"/>
      <x v="1"/>
      <x v="1"/>
      <x v="6"/>
      <x v="8"/>
      <x v="2"/>
    </i>
    <i>
      <x v="2"/>
      <x v="2"/>
      <x/>
      <x v="2"/>
      <x/>
      <x v="9"/>
      <x v="1"/>
    </i>
    <i>
      <x v="3"/>
      <x v="3"/>
      <x v="1"/>
      <x v="3"/>
      <x v="5"/>
      <x v="10"/>
      <x v="2"/>
    </i>
    <i>
      <x v="4"/>
      <x v="4"/>
      <x/>
      <x v="4"/>
      <x v="4"/>
      <x v="11"/>
      <x/>
    </i>
    <i>
      <x v="5"/>
      <x v="5"/>
      <x v="1"/>
      <x v="5"/>
      <x v="3"/>
      <x v="12"/>
      <x v="1"/>
    </i>
    <i>
      <x v="6"/>
      <x v="6"/>
      <x/>
      <x v="6"/>
      <x v="2"/>
      <x v="13"/>
      <x/>
    </i>
    <i>
      <x v="7"/>
      <x v="7"/>
      <x v="2"/>
      <x v="7"/>
      <x v="7"/>
      <x v="14"/>
      <x v="3"/>
    </i>
    <i t="grand">
      <x/>
    </i>
  </rowItems>
  <colItems count="1">
    <i/>
  </colItems>
  <pageFields count="1">
    <pageField fld="2" hier="-1"/>
  </pageFields>
  <dataFields count="1">
    <dataField name="Sum of Deposit Amount" fld="7" baseField="8" baseItem="0"/>
  </dataFields>
  <formats count="61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field="1" type="button" dataOnly="0" labelOnly="1" outline="0" axis="axisRow" fieldPosition="1"/>
    </format>
    <format dxfId="60">
      <pivotArea field="3" type="button" dataOnly="0" labelOnly="1" outline="0" axis="axisRow" fieldPosition="2"/>
    </format>
    <format dxfId="59">
      <pivotArea field="4" type="button" dataOnly="0" labelOnly="1" outline="0" axis="axisRow" fieldPosition="3"/>
    </format>
    <format dxfId="58">
      <pivotArea field="5" type="button" dataOnly="0" labelOnly="1" outline="0" axis="axisRow" fieldPosition="4"/>
    </format>
    <format dxfId="57">
      <pivotArea field="6" type="button" dataOnly="0" labelOnly="1" outline="0" axis="axisRow" fieldPosition="5"/>
    </format>
    <format dxfId="56">
      <pivotArea field="8" type="button" dataOnly="0" labelOnly="1" outline="0" axis="axisRow" fieldPosition="6"/>
    </format>
    <format dxfId="55">
      <pivotArea dataOnly="0" labelOnly="1" outline="0" axis="axisValues" fieldPosition="0"/>
    </format>
    <format dxfId="54">
      <pivotArea dataOnly="0" labelOnly="1" outline="0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3" count="1">
            <x v="0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3" count="1">
            <x v="1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3" count="1">
            <x v="0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"/>
          </reference>
          <reference field="3" count="1">
            <x v="1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"/>
          </reference>
          <reference field="3" count="1">
            <x v="0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5"/>
          </reference>
          <reference field="3" count="1">
            <x v="1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6"/>
          </reference>
          <reference field="3" count="1">
            <x v="0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"/>
          </reference>
          <reference field="3" count="1">
            <x v="2"/>
          </reference>
        </references>
      </pivotArea>
    </format>
    <format dxfId="3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3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3" count="1" selected="0">
            <x v="0"/>
          </reference>
          <reference field="4" count="1">
            <x v="2"/>
          </reference>
        </references>
      </pivotArea>
    </format>
    <format dxfId="3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"/>
          </reference>
          <reference field="3" count="1" selected="0">
            <x v="1"/>
          </reference>
          <reference field="4" count="1">
            <x v="3"/>
          </reference>
        </references>
      </pivotArea>
    </format>
    <format dxfId="3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"/>
          </reference>
          <reference field="3" count="1" selected="0">
            <x v="0"/>
          </reference>
          <reference field="4" count="1">
            <x v="4"/>
          </reference>
        </references>
      </pivotArea>
    </format>
    <format dxfId="31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5"/>
          </reference>
          <reference field="3" count="1" selected="0">
            <x v="1"/>
          </reference>
          <reference field="4" count="1">
            <x v="5"/>
          </reference>
        </references>
      </pivotArea>
    </format>
    <format dxfId="3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3" count="1" selected="0">
            <x v="0"/>
          </reference>
          <reference field="4" count="1">
            <x v="6"/>
          </reference>
        </references>
      </pivotArea>
    </format>
    <format dxfId="2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"/>
          </reference>
          <reference field="3" count="1" selected="0">
            <x v="2"/>
          </reference>
          <reference field="4" count="1">
            <x v="7"/>
          </reference>
        </references>
      </pivotArea>
    </format>
    <format dxfId="2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1"/>
          </reference>
        </references>
      </pivotArea>
    </format>
    <format dxfId="27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>
            <x v="6"/>
          </reference>
        </references>
      </pivotArea>
    </format>
    <format dxfId="26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>
            <x v="0"/>
          </reference>
        </references>
      </pivotArea>
    </format>
    <format dxfId="25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>
            <x v="5"/>
          </reference>
        </references>
      </pivotArea>
    </format>
    <format dxfId="24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4"/>
          </reference>
          <reference field="3" count="1" selected="0">
            <x v="0"/>
          </reference>
          <reference field="4" count="1" selected="0">
            <x v="4"/>
          </reference>
          <reference field="5" count="1">
            <x v="4"/>
          </reference>
        </references>
      </pivotArea>
    </format>
    <format dxfId="23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5"/>
          </reference>
          <reference field="3" count="1" selected="0">
            <x v="1"/>
          </reference>
          <reference field="4" count="1" selected="0">
            <x v="5"/>
          </reference>
          <reference field="5" count="1">
            <x v="3"/>
          </reference>
        </references>
      </pivotArea>
    </format>
    <format dxfId="22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3" count="1" selected="0">
            <x v="0"/>
          </reference>
          <reference field="4" count="1" selected="0">
            <x v="6"/>
          </reference>
          <reference field="5" count="1">
            <x v="2"/>
          </reference>
        </references>
      </pivotArea>
    </format>
    <format dxfId="2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7"/>
          </reference>
          <reference field="3" count="1" selected="0">
            <x v="2"/>
          </reference>
          <reference field="4" count="1" selected="0">
            <x v="7"/>
          </reference>
          <reference field="5" count="1">
            <x v="7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7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6"/>
          </reference>
          <reference field="6" count="1">
            <x v="8"/>
          </reference>
        </references>
      </pivotArea>
    </format>
    <format dxfId="18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>
            <x v="9"/>
          </reference>
        </references>
      </pivotArea>
    </format>
    <format dxfId="17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5"/>
          </reference>
          <reference field="6" count="1">
            <x v="10"/>
          </reference>
        </references>
      </pivotArea>
    </format>
    <format dxfId="16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4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4"/>
          </reference>
          <reference field="6" count="1">
            <x v="11"/>
          </reference>
        </references>
      </pivotArea>
    </format>
    <format dxfId="15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5"/>
          </reference>
          <reference field="3" count="1" selected="0">
            <x v="1"/>
          </reference>
          <reference field="4" count="1" selected="0">
            <x v="5"/>
          </reference>
          <reference field="5" count="1" selected="0">
            <x v="3"/>
          </reference>
          <reference field="6" count="1">
            <x v="12"/>
          </reference>
        </references>
      </pivotArea>
    </format>
    <format dxfId="14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2"/>
          </reference>
          <reference field="6" count="1">
            <x v="13"/>
          </reference>
        </references>
      </pivotArea>
    </format>
    <format dxfId="1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7"/>
          </reference>
          <reference field="3" count="1" selected="0">
            <x v="2"/>
          </reference>
          <reference field="4" count="1" selected="0">
            <x v="7"/>
          </reference>
          <reference field="5" count="1" selected="0">
            <x v="7"/>
          </reference>
          <reference field="6" count="1">
            <x v="14"/>
          </reference>
        </references>
      </pivotArea>
    </format>
    <format dxfId="12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7"/>
          </reference>
          <reference field="8" count="1">
            <x v="0"/>
          </reference>
        </references>
      </pivotArea>
    </format>
    <format dxfId="11">
      <pivotArea dataOnly="0" labelOnly="1" outline="0" fieldPosition="0">
        <references count="7">
          <reference field="0" count="1" selected="0">
            <x v="1"/>
          </reference>
          <reference field="1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  <reference field="5" count="1" selected="0">
            <x v="6"/>
          </reference>
          <reference field="6" count="1" selected="0">
            <x v="8"/>
          </reference>
          <reference field="8" count="1">
            <x v="2"/>
          </reference>
        </references>
      </pivotArea>
    </format>
    <format dxfId="10">
      <pivotArea dataOnly="0" labelOnly="1" outline="0" fieldPosition="0">
        <references count="7">
          <reference field="0" count="1" selected="0">
            <x v="2"/>
          </reference>
          <reference field="1" count="1" selected="0">
            <x v="2"/>
          </reference>
          <reference field="3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  <reference field="6" count="1" selected="0">
            <x v="9"/>
          </reference>
          <reference field="8" count="1">
            <x v="1"/>
          </reference>
        </references>
      </pivotArea>
    </format>
    <format dxfId="9">
      <pivotArea dataOnly="0" labelOnly="1" outline="0" fieldPosition="0">
        <references count="7">
          <reference field="0" count="1" selected="0">
            <x v="3"/>
          </reference>
          <reference field="1" count="1" selected="0">
            <x v="3"/>
          </reference>
          <reference field="3" count="1" selected="0">
            <x v="1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10"/>
          </reference>
          <reference field="8" count="1">
            <x v="2"/>
          </reference>
        </references>
      </pivotArea>
    </format>
    <format dxfId="8">
      <pivotArea dataOnly="0" labelOnly="1" outline="0" fieldPosition="0">
        <references count="7">
          <reference field="0" count="1" selected="0">
            <x v="4"/>
          </reference>
          <reference field="1" count="1" selected="0">
            <x v="4"/>
          </reference>
          <reference field="3" count="1" selected="0">
            <x v="0"/>
          </reference>
          <reference field="4" count="1" selected="0">
            <x v="4"/>
          </reference>
          <reference field="5" count="1" selected="0">
            <x v="4"/>
          </reference>
          <reference field="6" count="1" selected="0">
            <x v="11"/>
          </reference>
          <reference field="8" count="1">
            <x v="0"/>
          </reference>
        </references>
      </pivotArea>
    </format>
    <format dxfId="7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5"/>
          </reference>
          <reference field="3" count="1" selected="0">
            <x v="1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2"/>
          </reference>
          <reference field="8" count="1">
            <x v="1"/>
          </reference>
        </references>
      </pivotArea>
    </format>
    <format dxfId="6">
      <pivotArea dataOnly="0" labelOnly="1" outline="0" fieldPosition="0">
        <references count="7">
          <reference field="0" count="1" selected="0">
            <x v="6"/>
          </reference>
          <reference field="1" count="1" selected="0">
            <x v="6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2"/>
          </reference>
          <reference field="6" count="1" selected="0">
            <x v="13"/>
          </reference>
          <reference field="8" count="1">
            <x v="0"/>
          </reference>
        </references>
      </pivotArea>
    </format>
    <format dxfId="5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7"/>
          </reference>
          <reference field="3" count="1" selected="0">
            <x v="2"/>
          </reference>
          <reference field="4" count="1" selected="0">
            <x v="7"/>
          </reference>
          <reference field="5" count="1" selected="0">
            <x v="7"/>
          </reference>
          <reference field="6" count="1" selected="0">
            <x v="14"/>
          </reference>
          <reference field="8" count="1">
            <x v="3"/>
          </reference>
        </references>
      </pivotArea>
    </format>
    <format dxfId="4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E8:L17" firstHeaderRow="1" firstDataRow="1" firstDataCol="7" rowPageCount="1" colPageCount="1"/>
  <pivotFields count="10"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Page" compact="0" outline="0" showAll="0" defaultSubtotal="0">
      <items count="8">
        <item x="5"/>
        <item x="3"/>
        <item x="0"/>
        <item x="6"/>
        <item x="2"/>
        <item x="4"/>
        <item x="1"/>
        <item x="7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8">
        <item x="7"/>
        <item x="2"/>
        <item x="0"/>
        <item x="6"/>
        <item x="5"/>
        <item x="4"/>
        <item x="3"/>
        <item x="1"/>
      </items>
    </pivotField>
    <pivotField axis="axisRow" compact="0" outline="0" showAll="0" defaultSubtotal="0">
      <items count="8">
        <item x="7"/>
        <item x="2"/>
        <item x="6"/>
        <item x="0"/>
        <item x="4"/>
        <item x="1"/>
        <item x="5"/>
        <item x="3"/>
      </items>
    </pivotField>
    <pivotField dataField="1" compact="0" outline="0" showAll="0" defaultSubtotal="0"/>
    <pivotField axis="axisRow" compact="0" outline="0" showAll="0" defaultSubtotal="0">
      <items count="4">
        <item x="1"/>
        <item x="0"/>
        <item x="2"/>
        <item x="3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7">
    <field x="0"/>
    <field x="1"/>
    <field x="3"/>
    <field x="4"/>
    <field x="5"/>
    <field x="6"/>
    <field x="8"/>
  </rowFields>
  <rowItems count="9">
    <i>
      <x/>
      <x v="245"/>
      <x v="1"/>
      <x/>
      <x v="2"/>
      <x v="3"/>
      <x v="1"/>
    </i>
    <i>
      <x v="1"/>
      <x v="216"/>
      <x v="2"/>
      <x v="1"/>
      <x v="7"/>
      <x v="5"/>
      <x/>
    </i>
    <i>
      <x v="2"/>
      <x v="210"/>
      <x v="1"/>
      <x v="2"/>
      <x v="1"/>
      <x v="1"/>
      <x v="2"/>
    </i>
    <i>
      <x v="3"/>
      <x v="239"/>
      <x v="2"/>
      <x v="3"/>
      <x v="6"/>
      <x v="7"/>
      <x/>
    </i>
    <i>
      <x v="4"/>
      <x v="259"/>
      <x v="1"/>
      <x v="4"/>
      <x v="5"/>
      <x v="4"/>
      <x v="2"/>
    </i>
    <i>
      <x v="5"/>
      <x v="264"/>
      <x v="2"/>
      <x v="5"/>
      <x v="4"/>
      <x v="6"/>
      <x v="1"/>
    </i>
    <i>
      <x v="6"/>
      <x v="265"/>
      <x v="1"/>
      <x v="6"/>
      <x v="3"/>
      <x v="2"/>
      <x v="2"/>
    </i>
    <i>
      <x v="7"/>
      <x/>
      <x/>
      <x v="7"/>
      <x/>
      <x/>
      <x v="3"/>
    </i>
    <i t="grand">
      <x/>
    </i>
  </rowItems>
  <colItems count="1">
    <i/>
  </colItems>
  <pageFields count="1">
    <pageField fld="2" hier="-1"/>
  </pageFields>
  <dataFields count="1">
    <dataField name="Sum of Withdraw Amount" fld="7" baseField="8" baseItem="1"/>
  </dataFields>
  <formats count="2">
    <format dxfId="3">
      <pivotArea outline="0" collapsedLevelsAreSubtotals="1" fieldPosition="0">
        <references count="7">
          <reference field="0" count="1" selected="0">
            <x v="0"/>
          </reference>
          <reference field="1" count="1" selected="0">
            <x v="245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  <reference field="8" count="1" selected="0">
            <x v="1"/>
          </reference>
        </references>
      </pivotArea>
    </format>
    <format dxfId="2">
      <pivotArea outline="0" collapsedLevelsAreSubtotals="1" fieldPosition="0">
        <references count="7">
          <reference field="0" count="1" selected="0">
            <x v="0"/>
          </reference>
          <reference field="1" count="1" selected="0">
            <x v="245"/>
          </reference>
          <reference field="3" count="1" selected="0">
            <x v="1"/>
          </reference>
          <reference field="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  <reference field="8" count="1" selected="0">
            <x v="1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:E88"/>
  <sheetViews>
    <sheetView showGridLines="0" tabSelected="1" topLeftCell="A7" workbookViewId="0">
      <selection activeCell="G34" sqref="G34"/>
    </sheetView>
  </sheetViews>
  <sheetFormatPr defaultRowHeight="15" x14ac:dyDescent="0.25"/>
  <sheetData>
    <row r="10" spans="5:5" ht="46.5" x14ac:dyDescent="0.25">
      <c r="E10" s="47"/>
    </row>
    <row r="11" spans="5:5" ht="15.75" x14ac:dyDescent="0.25">
      <c r="E11" s="48"/>
    </row>
    <row r="87" spans="4:4" ht="46.5" x14ac:dyDescent="0.25">
      <c r="D87" s="47"/>
    </row>
    <row r="88" spans="4:4" ht="15.75" x14ac:dyDescent="0.25">
      <c r="D88" s="4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37"/>
  <sheetViews>
    <sheetView showGridLines="0" workbookViewId="0"/>
  </sheetViews>
  <sheetFormatPr defaultRowHeight="15" x14ac:dyDescent="0.25"/>
  <sheetData>
    <row r="2" spans="4:4" x14ac:dyDescent="0.25">
      <c r="D2" s="46"/>
    </row>
    <row r="37" spans="8:8" x14ac:dyDescent="0.25">
      <c r="H37" s="4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42"/>
  <sheetViews>
    <sheetView workbookViewId="0">
      <selection activeCell="B15" sqref="B15"/>
    </sheetView>
  </sheetViews>
  <sheetFormatPr defaultRowHeight="15" x14ac:dyDescent="0.25"/>
  <cols>
    <col min="5" max="5" width="11" bestFit="1" customWidth="1"/>
    <col min="6" max="6" width="15.28515625" bestFit="1" customWidth="1"/>
    <col min="7" max="7" width="12" bestFit="1" customWidth="1"/>
    <col min="8" max="8" width="23.5703125" bestFit="1" customWidth="1"/>
  </cols>
  <sheetData>
    <row r="2" spans="4:8" x14ac:dyDescent="0.25">
      <c r="D2" s="50" t="s">
        <v>50</v>
      </c>
      <c r="E2" s="49"/>
      <c r="F2" s="49"/>
      <c r="G2" s="49"/>
      <c r="H2" s="49"/>
    </row>
    <row r="3" spans="4:8" x14ac:dyDescent="0.25">
      <c r="D3" s="49"/>
      <c r="E3" s="49"/>
      <c r="F3" s="49"/>
      <c r="G3" s="49"/>
      <c r="H3" s="49"/>
    </row>
    <row r="4" spans="4:8" x14ac:dyDescent="0.25">
      <c r="D4" s="49"/>
      <c r="E4" s="49"/>
      <c r="F4" s="49"/>
      <c r="G4" s="49"/>
      <c r="H4" s="49"/>
    </row>
    <row r="6" spans="4:8" ht="15.75" thickBot="1" x14ac:dyDescent="0.3"/>
    <row r="7" spans="4:8" ht="15.75" thickTop="1" x14ac:dyDescent="0.25">
      <c r="D7" s="2" t="s">
        <v>0</v>
      </c>
      <c r="E7" s="3" t="s">
        <v>1</v>
      </c>
      <c r="F7" s="3" t="s">
        <v>2</v>
      </c>
      <c r="G7" s="3" t="s">
        <v>3</v>
      </c>
      <c r="H7" s="9" t="s">
        <v>4</v>
      </c>
    </row>
    <row r="8" spans="4:8" x14ac:dyDescent="0.25">
      <c r="D8" s="4">
        <f>IF(E8="","",ROW(A1))</f>
        <v>1</v>
      </c>
      <c r="E8" s="18" t="s">
        <v>5</v>
      </c>
      <c r="F8" s="18" t="s">
        <v>42</v>
      </c>
      <c r="G8" s="18">
        <v>1648</v>
      </c>
      <c r="H8" s="10">
        <v>3457586990</v>
      </c>
    </row>
    <row r="9" spans="4:8" x14ac:dyDescent="0.25">
      <c r="D9" s="4">
        <f t="shared" ref="D9:D14" si="0">IF(E9="","",ROW(A2))</f>
        <v>2</v>
      </c>
      <c r="E9" s="5" t="s">
        <v>6</v>
      </c>
      <c r="F9" s="5" t="s">
        <v>43</v>
      </c>
      <c r="G9" s="5">
        <v>1912</v>
      </c>
      <c r="H9" s="10">
        <v>3001245786</v>
      </c>
    </row>
    <row r="10" spans="4:8" x14ac:dyDescent="0.25">
      <c r="D10" s="4">
        <f t="shared" si="0"/>
        <v>3</v>
      </c>
      <c r="E10" s="5" t="s">
        <v>7</v>
      </c>
      <c r="F10" s="5" t="s">
        <v>44</v>
      </c>
      <c r="G10" s="5">
        <v>1421</v>
      </c>
      <c r="H10" s="10">
        <v>3001245786</v>
      </c>
    </row>
    <row r="11" spans="4:8" x14ac:dyDescent="0.25">
      <c r="D11" s="4">
        <f t="shared" si="0"/>
        <v>4</v>
      </c>
      <c r="E11" s="5" t="s">
        <v>8</v>
      </c>
      <c r="F11" s="5" t="s">
        <v>47</v>
      </c>
      <c r="G11" s="5">
        <v>9502</v>
      </c>
      <c r="H11" s="10">
        <v>3117458965</v>
      </c>
    </row>
    <row r="12" spans="4:8" x14ac:dyDescent="0.25">
      <c r="D12" s="4">
        <f t="shared" si="0"/>
        <v>5</v>
      </c>
      <c r="E12" s="5" t="s">
        <v>9</v>
      </c>
      <c r="F12" s="5" t="s">
        <v>46</v>
      </c>
      <c r="G12" s="5">
        <v>8536</v>
      </c>
      <c r="H12" s="10">
        <v>3247896340</v>
      </c>
    </row>
    <row r="13" spans="4:8" x14ac:dyDescent="0.25">
      <c r="D13" s="4">
        <f t="shared" si="0"/>
        <v>6</v>
      </c>
      <c r="E13" s="5" t="s">
        <v>10</v>
      </c>
      <c r="F13" s="5" t="s">
        <v>48</v>
      </c>
      <c r="G13" s="5">
        <v>7423</v>
      </c>
      <c r="H13" s="10">
        <v>3310002568</v>
      </c>
    </row>
    <row r="14" spans="4:8" ht="15.75" thickBot="1" x14ac:dyDescent="0.3">
      <c r="D14" s="6">
        <f t="shared" si="0"/>
        <v>7</v>
      </c>
      <c r="E14" s="7" t="s">
        <v>25</v>
      </c>
      <c r="F14" s="7" t="s">
        <v>45</v>
      </c>
      <c r="G14" s="7">
        <v>7423</v>
      </c>
      <c r="H14" s="51">
        <v>3247495869</v>
      </c>
    </row>
    <row r="15" spans="4:8" ht="15.75" thickTop="1" x14ac:dyDescent="0.25">
      <c r="D15" t="str">
        <f t="shared" ref="D11:D42" si="1">IF(E15="","",ROW(A10))</f>
        <v/>
      </c>
    </row>
    <row r="16" spans="4:8" x14ac:dyDescent="0.25">
      <c r="D16" t="str">
        <f t="shared" si="1"/>
        <v/>
      </c>
    </row>
    <row r="17" spans="4:4" x14ac:dyDescent="0.25">
      <c r="D17" t="str">
        <f t="shared" si="1"/>
        <v/>
      </c>
    </row>
    <row r="18" spans="4:4" x14ac:dyDescent="0.25">
      <c r="D18" t="str">
        <f t="shared" si="1"/>
        <v/>
      </c>
    </row>
    <row r="19" spans="4:4" x14ac:dyDescent="0.25">
      <c r="D19" t="str">
        <f t="shared" si="1"/>
        <v/>
      </c>
    </row>
    <row r="20" spans="4:4" x14ac:dyDescent="0.25">
      <c r="D20" t="str">
        <f t="shared" si="1"/>
        <v/>
      </c>
    </row>
    <row r="21" spans="4:4" x14ac:dyDescent="0.25">
      <c r="D21" t="str">
        <f t="shared" si="1"/>
        <v/>
      </c>
    </row>
    <row r="22" spans="4:4" x14ac:dyDescent="0.25">
      <c r="D22" t="str">
        <f t="shared" si="1"/>
        <v/>
      </c>
    </row>
    <row r="23" spans="4:4" x14ac:dyDescent="0.25">
      <c r="D23" t="str">
        <f t="shared" si="1"/>
        <v/>
      </c>
    </row>
    <row r="24" spans="4:4" x14ac:dyDescent="0.25">
      <c r="D24" t="str">
        <f t="shared" si="1"/>
        <v/>
      </c>
    </row>
    <row r="25" spans="4:4" x14ac:dyDescent="0.25">
      <c r="D25" t="str">
        <f t="shared" si="1"/>
        <v/>
      </c>
    </row>
    <row r="26" spans="4:4" x14ac:dyDescent="0.25">
      <c r="D26" t="str">
        <f t="shared" si="1"/>
        <v/>
      </c>
    </row>
    <row r="27" spans="4:4" x14ac:dyDescent="0.25">
      <c r="D27" t="str">
        <f t="shared" si="1"/>
        <v/>
      </c>
    </row>
    <row r="28" spans="4:4" x14ac:dyDescent="0.25">
      <c r="D28" t="str">
        <f t="shared" si="1"/>
        <v/>
      </c>
    </row>
    <row r="29" spans="4:4" x14ac:dyDescent="0.25">
      <c r="D29" t="str">
        <f t="shared" si="1"/>
        <v/>
      </c>
    </row>
    <row r="30" spans="4:4" x14ac:dyDescent="0.25">
      <c r="D30" t="str">
        <f t="shared" si="1"/>
        <v/>
      </c>
    </row>
    <row r="31" spans="4:4" x14ac:dyDescent="0.25">
      <c r="D31" t="str">
        <f t="shared" si="1"/>
        <v/>
      </c>
    </row>
    <row r="32" spans="4:4" x14ac:dyDescent="0.25">
      <c r="D32" t="str">
        <f t="shared" si="1"/>
        <v/>
      </c>
    </row>
    <row r="33" spans="4:4" x14ac:dyDescent="0.25">
      <c r="D33" t="str">
        <f t="shared" si="1"/>
        <v/>
      </c>
    </row>
    <row r="34" spans="4:4" x14ac:dyDescent="0.25">
      <c r="D34" t="str">
        <f t="shared" si="1"/>
        <v/>
      </c>
    </row>
    <row r="35" spans="4:4" x14ac:dyDescent="0.25">
      <c r="D35" t="str">
        <f t="shared" si="1"/>
        <v/>
      </c>
    </row>
    <row r="36" spans="4:4" x14ac:dyDescent="0.25">
      <c r="D36" t="str">
        <f t="shared" si="1"/>
        <v/>
      </c>
    </row>
    <row r="37" spans="4:4" x14ac:dyDescent="0.25">
      <c r="D37" t="str">
        <f t="shared" si="1"/>
        <v/>
      </c>
    </row>
    <row r="38" spans="4:4" x14ac:dyDescent="0.25">
      <c r="D38" t="str">
        <f t="shared" si="1"/>
        <v/>
      </c>
    </row>
    <row r="39" spans="4:4" x14ac:dyDescent="0.25">
      <c r="D39" t="str">
        <f t="shared" si="1"/>
        <v/>
      </c>
    </row>
    <row r="40" spans="4:4" x14ac:dyDescent="0.25">
      <c r="D40" t="str">
        <f t="shared" si="1"/>
        <v/>
      </c>
    </row>
    <row r="41" spans="4:4" x14ac:dyDescent="0.25">
      <c r="D41" t="str">
        <f t="shared" si="1"/>
        <v/>
      </c>
    </row>
    <row r="42" spans="4:4" x14ac:dyDescent="0.25">
      <c r="D42" t="str">
        <f t="shared" si="1"/>
        <v/>
      </c>
    </row>
  </sheetData>
  <mergeCells count="1">
    <mergeCell ref="D2:H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L41"/>
  <sheetViews>
    <sheetView topLeftCell="B1" workbookViewId="0">
      <selection activeCell="E3" sqref="E3"/>
    </sheetView>
  </sheetViews>
  <sheetFormatPr defaultRowHeight="15" x14ac:dyDescent="0.25"/>
  <cols>
    <col min="5" max="5" width="12" bestFit="1" customWidth="1"/>
    <col min="6" max="6" width="15.42578125" bestFit="1" customWidth="1"/>
    <col min="7" max="7" width="7.5703125" bestFit="1" customWidth="1"/>
    <col min="8" max="8" width="11" bestFit="1" customWidth="1"/>
    <col min="9" max="9" width="15.42578125" bestFit="1" customWidth="1"/>
    <col min="10" max="10" width="19.85546875" customWidth="1"/>
    <col min="11" max="11" width="22.7109375" bestFit="1" customWidth="1"/>
    <col min="12" max="12" width="17" bestFit="1" customWidth="1"/>
  </cols>
  <sheetData>
    <row r="2" spans="5:12" x14ac:dyDescent="0.25">
      <c r="F2" s="66" t="s">
        <v>52</v>
      </c>
      <c r="G2" s="66"/>
      <c r="H2" s="66"/>
      <c r="I2" s="66"/>
      <c r="J2" s="66"/>
      <c r="K2" s="66"/>
    </row>
    <row r="3" spans="5:12" x14ac:dyDescent="0.25">
      <c r="F3" s="66"/>
      <c r="G3" s="66"/>
      <c r="H3" s="66"/>
      <c r="I3" s="66"/>
      <c r="J3" s="66"/>
      <c r="K3" s="66"/>
    </row>
    <row r="4" spans="5:12" x14ac:dyDescent="0.25">
      <c r="F4" s="66"/>
      <c r="G4" s="66"/>
      <c r="H4" s="66"/>
      <c r="I4" s="66"/>
      <c r="J4" s="66"/>
      <c r="K4" s="66"/>
    </row>
    <row r="5" spans="5:12" ht="15.75" thickBot="1" x14ac:dyDescent="0.3"/>
    <row r="6" spans="5:12" ht="15.75" thickTop="1" x14ac:dyDescent="0.25">
      <c r="E6" s="54" t="s">
        <v>13</v>
      </c>
      <c r="F6" s="55" t="s">
        <v>14</v>
      </c>
      <c r="G6" s="55" t="s">
        <v>0</v>
      </c>
      <c r="H6" s="55" t="s">
        <v>1</v>
      </c>
      <c r="I6" s="55" t="s">
        <v>2</v>
      </c>
      <c r="J6" s="55" t="s">
        <v>15</v>
      </c>
      <c r="K6" s="55" t="s">
        <v>16</v>
      </c>
      <c r="L6" s="56" t="s">
        <v>17</v>
      </c>
    </row>
    <row r="7" spans="5:12" x14ac:dyDescent="0.25">
      <c r="E7" s="57">
        <v>10428692110</v>
      </c>
      <c r="F7" s="18" t="s">
        <v>18</v>
      </c>
      <c r="G7" s="18">
        <v>1</v>
      </c>
      <c r="H7" s="18" t="str">
        <f t="shared" ref="H7:H41" si="0">IF(G7="","",VLOOKUP(G7,bkinfo,2,0))</f>
        <v>HBL</v>
      </c>
      <c r="I7" s="18" t="str">
        <f t="shared" ref="I7:I41" si="1">IF(G7="","",VLOOKUP(G7,bkinfo,3,0))</f>
        <v>Jannah Bazaar</v>
      </c>
      <c r="J7" s="58">
        <f t="shared" ref="J7:J13" si="2">SUMIF(dpac,E7,dpam)</f>
        <v>60000</v>
      </c>
      <c r="K7" s="59">
        <f t="shared" ref="K7:K13" si="3">SUMIF(wtac,E7,wtam)</f>
        <v>50000</v>
      </c>
      <c r="L7" s="60">
        <f t="shared" ref="L7:L13" si="4">IF(twa&gt;tda,"CHECK AMOUNT",tda-twa)</f>
        <v>10000</v>
      </c>
    </row>
    <row r="8" spans="5:12" x14ac:dyDescent="0.25">
      <c r="E8" s="57">
        <v>10428962104</v>
      </c>
      <c r="F8" s="18" t="s">
        <v>19</v>
      </c>
      <c r="G8" s="18">
        <v>2</v>
      </c>
      <c r="H8" s="18" t="str">
        <f t="shared" si="0"/>
        <v>UBL</v>
      </c>
      <c r="I8" s="18" t="str">
        <f t="shared" si="1"/>
        <v>People's Colony</v>
      </c>
      <c r="J8" s="58">
        <f t="shared" si="2"/>
        <v>45000</v>
      </c>
      <c r="K8" s="59">
        <f t="shared" si="3"/>
        <v>35000</v>
      </c>
      <c r="L8" s="60">
        <f t="shared" si="4"/>
        <v>10000</v>
      </c>
    </row>
    <row r="9" spans="5:12" x14ac:dyDescent="0.25">
      <c r="E9" s="57">
        <v>10428943525</v>
      </c>
      <c r="F9" s="18" t="s">
        <v>18</v>
      </c>
      <c r="G9" s="18">
        <v>3</v>
      </c>
      <c r="H9" s="18" t="str">
        <f t="shared" si="0"/>
        <v>ABL</v>
      </c>
      <c r="I9" s="18" t="str">
        <f t="shared" si="1"/>
        <v>Bank Square</v>
      </c>
      <c r="J9" s="58">
        <f t="shared" si="2"/>
        <v>35000</v>
      </c>
      <c r="K9" s="59">
        <f t="shared" si="3"/>
        <v>22000</v>
      </c>
      <c r="L9" s="60">
        <f t="shared" si="4"/>
        <v>13000</v>
      </c>
    </row>
    <row r="10" spans="5:12" x14ac:dyDescent="0.25">
      <c r="E10" s="57">
        <v>10428643629</v>
      </c>
      <c r="F10" s="18" t="s">
        <v>19</v>
      </c>
      <c r="G10" s="18">
        <v>4</v>
      </c>
      <c r="H10" s="18" t="str">
        <f t="shared" si="0"/>
        <v>SBL</v>
      </c>
      <c r="I10" s="18" t="str">
        <f t="shared" si="1"/>
        <v>Wapda Town</v>
      </c>
      <c r="J10" s="58">
        <f t="shared" si="2"/>
        <v>25000</v>
      </c>
      <c r="K10" s="59">
        <f t="shared" si="3"/>
        <v>16000</v>
      </c>
      <c r="L10" s="60">
        <f t="shared" si="4"/>
        <v>9000</v>
      </c>
    </row>
    <row r="11" spans="5:12" x14ac:dyDescent="0.25">
      <c r="E11" s="57">
        <v>10428952865</v>
      </c>
      <c r="F11" s="18" t="s">
        <v>18</v>
      </c>
      <c r="G11" s="18">
        <v>5</v>
      </c>
      <c r="H11" s="18" t="str">
        <f t="shared" si="0"/>
        <v>PBL</v>
      </c>
      <c r="I11" s="18" t="str">
        <f t="shared" si="1"/>
        <v>Model Towm</v>
      </c>
      <c r="J11" s="58">
        <f t="shared" si="2"/>
        <v>20000</v>
      </c>
      <c r="K11" s="59">
        <f t="shared" si="3"/>
        <v>13000</v>
      </c>
      <c r="L11" s="60">
        <f t="shared" si="4"/>
        <v>7000</v>
      </c>
    </row>
    <row r="12" spans="5:12" x14ac:dyDescent="0.25">
      <c r="E12" s="57">
        <v>10428549634</v>
      </c>
      <c r="F12" s="18" t="s">
        <v>19</v>
      </c>
      <c r="G12" s="18">
        <v>6</v>
      </c>
      <c r="H12" s="18" t="str">
        <f t="shared" si="0"/>
        <v>MCB</v>
      </c>
      <c r="I12" s="18" t="str">
        <f t="shared" si="1"/>
        <v>Setlite Town</v>
      </c>
      <c r="J12" s="58">
        <f t="shared" si="2"/>
        <v>17000</v>
      </c>
      <c r="K12" s="59">
        <f t="shared" si="3"/>
        <v>10000</v>
      </c>
      <c r="L12" s="60">
        <f t="shared" si="4"/>
        <v>7000</v>
      </c>
    </row>
    <row r="13" spans="5:12" ht="15.75" thickBot="1" x14ac:dyDescent="0.3">
      <c r="E13" s="61">
        <v>10428695648</v>
      </c>
      <c r="F13" s="62" t="s">
        <v>18</v>
      </c>
      <c r="G13" s="62">
        <v>7</v>
      </c>
      <c r="H13" s="62" t="str">
        <f t="shared" si="0"/>
        <v>JS</v>
      </c>
      <c r="I13" s="62" t="str">
        <f t="shared" si="1"/>
        <v>Gondlawala</v>
      </c>
      <c r="J13" s="63">
        <f t="shared" si="2"/>
        <v>12000</v>
      </c>
      <c r="K13" s="64">
        <f t="shared" si="3"/>
        <v>5000</v>
      </c>
      <c r="L13" s="65">
        <f t="shared" si="4"/>
        <v>7000</v>
      </c>
    </row>
    <row r="14" spans="5:12" ht="15.75" thickTop="1" x14ac:dyDescent="0.25">
      <c r="H14" t="str">
        <f t="shared" si="0"/>
        <v/>
      </c>
      <c r="I14" t="str">
        <f t="shared" si="1"/>
        <v/>
      </c>
    </row>
    <row r="15" spans="5:12" x14ac:dyDescent="0.25">
      <c r="H15" t="str">
        <f t="shared" si="0"/>
        <v/>
      </c>
      <c r="I15" t="str">
        <f t="shared" si="1"/>
        <v/>
      </c>
    </row>
    <row r="16" spans="5:12" x14ac:dyDescent="0.25">
      <c r="H16" t="str">
        <f t="shared" si="0"/>
        <v/>
      </c>
      <c r="I16" t="str">
        <f t="shared" si="1"/>
        <v/>
      </c>
    </row>
    <row r="17" spans="7:9" x14ac:dyDescent="0.25">
      <c r="G17" s="52"/>
      <c r="H17" t="str">
        <f t="shared" si="0"/>
        <v/>
      </c>
      <c r="I17" t="str">
        <f t="shared" si="1"/>
        <v/>
      </c>
    </row>
    <row r="18" spans="7:9" x14ac:dyDescent="0.25">
      <c r="H18" t="str">
        <f t="shared" si="0"/>
        <v/>
      </c>
      <c r="I18" t="str">
        <f t="shared" si="1"/>
        <v/>
      </c>
    </row>
    <row r="19" spans="7:9" x14ac:dyDescent="0.25">
      <c r="H19" t="str">
        <f t="shared" si="0"/>
        <v/>
      </c>
      <c r="I19" t="str">
        <f t="shared" si="1"/>
        <v/>
      </c>
    </row>
    <row r="20" spans="7:9" x14ac:dyDescent="0.25">
      <c r="H20" t="str">
        <f t="shared" si="0"/>
        <v/>
      </c>
      <c r="I20" t="str">
        <f t="shared" si="1"/>
        <v/>
      </c>
    </row>
    <row r="21" spans="7:9" x14ac:dyDescent="0.25">
      <c r="H21" t="str">
        <f t="shared" si="0"/>
        <v/>
      </c>
      <c r="I21" t="str">
        <f t="shared" si="1"/>
        <v/>
      </c>
    </row>
    <row r="22" spans="7:9" x14ac:dyDescent="0.25">
      <c r="H22" t="str">
        <f t="shared" si="0"/>
        <v/>
      </c>
      <c r="I22" t="str">
        <f t="shared" si="1"/>
        <v/>
      </c>
    </row>
    <row r="23" spans="7:9" x14ac:dyDescent="0.25">
      <c r="H23" t="str">
        <f t="shared" si="0"/>
        <v/>
      </c>
      <c r="I23" t="str">
        <f t="shared" si="1"/>
        <v/>
      </c>
    </row>
    <row r="24" spans="7:9" x14ac:dyDescent="0.25">
      <c r="H24" t="str">
        <f t="shared" si="0"/>
        <v/>
      </c>
      <c r="I24" t="str">
        <f t="shared" si="1"/>
        <v/>
      </c>
    </row>
    <row r="25" spans="7:9" x14ac:dyDescent="0.25">
      <c r="H25" t="str">
        <f t="shared" si="0"/>
        <v/>
      </c>
      <c r="I25" t="str">
        <f t="shared" si="1"/>
        <v/>
      </c>
    </row>
    <row r="26" spans="7:9" x14ac:dyDescent="0.25">
      <c r="H26" t="str">
        <f t="shared" si="0"/>
        <v/>
      </c>
      <c r="I26" t="str">
        <f t="shared" si="1"/>
        <v/>
      </c>
    </row>
    <row r="27" spans="7:9" x14ac:dyDescent="0.25">
      <c r="H27" t="str">
        <f t="shared" si="0"/>
        <v/>
      </c>
      <c r="I27" t="str">
        <f t="shared" si="1"/>
        <v/>
      </c>
    </row>
    <row r="28" spans="7:9" x14ac:dyDescent="0.25">
      <c r="H28" t="str">
        <f t="shared" si="0"/>
        <v/>
      </c>
      <c r="I28" t="str">
        <f t="shared" si="1"/>
        <v/>
      </c>
    </row>
    <row r="29" spans="7:9" x14ac:dyDescent="0.25">
      <c r="H29" t="str">
        <f t="shared" si="0"/>
        <v/>
      </c>
      <c r="I29" t="str">
        <f t="shared" si="1"/>
        <v/>
      </c>
    </row>
    <row r="30" spans="7:9" x14ac:dyDescent="0.25">
      <c r="H30" t="str">
        <f t="shared" si="0"/>
        <v/>
      </c>
      <c r="I30" t="str">
        <f t="shared" si="1"/>
        <v/>
      </c>
    </row>
    <row r="31" spans="7:9" x14ac:dyDescent="0.25">
      <c r="H31" t="str">
        <f t="shared" si="0"/>
        <v/>
      </c>
      <c r="I31" t="str">
        <f t="shared" si="1"/>
        <v/>
      </c>
    </row>
    <row r="32" spans="7:9" x14ac:dyDescent="0.25">
      <c r="H32" t="str">
        <f t="shared" si="0"/>
        <v/>
      </c>
      <c r="I32" t="str">
        <f t="shared" si="1"/>
        <v/>
      </c>
    </row>
    <row r="33" spans="8:9" x14ac:dyDescent="0.25">
      <c r="H33" t="str">
        <f t="shared" si="0"/>
        <v/>
      </c>
      <c r="I33" t="str">
        <f t="shared" si="1"/>
        <v/>
      </c>
    </row>
    <row r="34" spans="8:9" x14ac:dyDescent="0.25">
      <c r="H34" t="str">
        <f t="shared" si="0"/>
        <v/>
      </c>
      <c r="I34" t="str">
        <f t="shared" si="1"/>
        <v/>
      </c>
    </row>
    <row r="35" spans="8:9" x14ac:dyDescent="0.25">
      <c r="H35" t="str">
        <f t="shared" si="0"/>
        <v/>
      </c>
      <c r="I35" t="str">
        <f t="shared" si="1"/>
        <v/>
      </c>
    </row>
    <row r="36" spans="8:9" x14ac:dyDescent="0.25">
      <c r="H36" t="str">
        <f t="shared" si="0"/>
        <v/>
      </c>
      <c r="I36" t="str">
        <f t="shared" si="1"/>
        <v/>
      </c>
    </row>
    <row r="37" spans="8:9" x14ac:dyDescent="0.25">
      <c r="H37" t="str">
        <f t="shared" si="0"/>
        <v/>
      </c>
      <c r="I37" t="str">
        <f t="shared" si="1"/>
        <v/>
      </c>
    </row>
    <row r="38" spans="8:9" x14ac:dyDescent="0.25">
      <c r="H38" t="str">
        <f t="shared" si="0"/>
        <v/>
      </c>
      <c r="I38" t="str">
        <f t="shared" si="1"/>
        <v/>
      </c>
    </row>
    <row r="39" spans="8:9" x14ac:dyDescent="0.25">
      <c r="H39" t="str">
        <f t="shared" si="0"/>
        <v/>
      </c>
      <c r="I39" t="str">
        <f t="shared" si="1"/>
        <v/>
      </c>
    </row>
    <row r="40" spans="8:9" x14ac:dyDescent="0.25">
      <c r="H40" t="str">
        <f t="shared" si="0"/>
        <v/>
      </c>
      <c r="I40" t="str">
        <f t="shared" si="1"/>
        <v/>
      </c>
    </row>
    <row r="41" spans="8:9" x14ac:dyDescent="0.25">
      <c r="H41" t="str">
        <f t="shared" si="0"/>
        <v/>
      </c>
      <c r="I41" t="str">
        <f t="shared" si="1"/>
        <v/>
      </c>
    </row>
  </sheetData>
  <mergeCells count="1">
    <mergeCell ref="F2:K4"/>
  </mergeCells>
  <conditionalFormatting sqref="E7:E12">
    <cfRule type="duplicateValues" dxfId="1" priority="2"/>
  </conditionalFormatting>
  <conditionalFormatting sqref="E1:E1048576">
    <cfRule type="duplicateValues" dxfId="0" priority="1"/>
  </conditionalFormatting>
  <dataValidations count="2">
    <dataValidation type="list" allowBlank="1" showInputMessage="1" showErrorMessage="1" sqref="F6:F1048576">
      <formula1>"Current Account,Saving Account"</formula1>
    </dataValidation>
    <dataValidation type="list" allowBlank="1" showInputMessage="1" showErrorMessage="1" sqref="G6:G1048576">
      <formula1>bkid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M43"/>
  <sheetViews>
    <sheetView workbookViewId="0">
      <selection activeCell="E5" sqref="E5"/>
    </sheetView>
  </sheetViews>
  <sheetFormatPr defaultRowHeight="15" x14ac:dyDescent="0.25"/>
  <cols>
    <col min="5" max="5" width="10.140625" bestFit="1" customWidth="1"/>
    <col min="6" max="6" width="12.42578125" style="8" bestFit="1" customWidth="1"/>
    <col min="7" max="7" width="12" bestFit="1" customWidth="1"/>
    <col min="8" max="8" width="15.42578125" bestFit="1" customWidth="1"/>
    <col min="9" max="9" width="7.5703125" bestFit="1" customWidth="1"/>
    <col min="10" max="10" width="11" bestFit="1" customWidth="1"/>
    <col min="11" max="11" width="12.7109375" bestFit="1" customWidth="1"/>
    <col min="12" max="12" width="15.5703125" bestFit="1" customWidth="1"/>
    <col min="13" max="13" width="17" bestFit="1" customWidth="1"/>
  </cols>
  <sheetData>
    <row r="2" spans="5:13" x14ac:dyDescent="0.25">
      <c r="F2" s="67" t="s">
        <v>51</v>
      </c>
      <c r="G2" s="67"/>
      <c r="H2" s="67"/>
      <c r="I2" s="67"/>
      <c r="J2" s="67"/>
      <c r="K2" s="67"/>
      <c r="L2" s="67"/>
    </row>
    <row r="3" spans="5:13" x14ac:dyDescent="0.25">
      <c r="F3" s="67"/>
      <c r="G3" s="67"/>
      <c r="H3" s="67"/>
      <c r="I3" s="67"/>
      <c r="J3" s="67"/>
      <c r="K3" s="67"/>
      <c r="L3" s="67"/>
    </row>
    <row r="4" spans="5:13" x14ac:dyDescent="0.25">
      <c r="F4" s="67"/>
      <c r="G4" s="67"/>
      <c r="H4" s="67"/>
      <c r="I4" s="67"/>
      <c r="J4" s="67"/>
      <c r="K4" s="67"/>
      <c r="L4" s="67"/>
    </row>
    <row r="6" spans="5:13" ht="15.75" thickBot="1" x14ac:dyDescent="0.3"/>
    <row r="7" spans="5:13" ht="16.5" thickTop="1" thickBot="1" x14ac:dyDescent="0.3">
      <c r="E7" s="31" t="s">
        <v>11</v>
      </c>
      <c r="F7" s="32" t="s">
        <v>12</v>
      </c>
      <c r="G7" s="33" t="s">
        <v>13</v>
      </c>
      <c r="H7" s="33" t="s">
        <v>14</v>
      </c>
      <c r="I7" s="33" t="s">
        <v>0</v>
      </c>
      <c r="J7" s="33" t="s">
        <v>1</v>
      </c>
      <c r="K7" s="33" t="s">
        <v>2</v>
      </c>
      <c r="L7" s="33" t="s">
        <v>20</v>
      </c>
      <c r="M7" s="34" t="s">
        <v>21</v>
      </c>
    </row>
    <row r="8" spans="5:13" ht="15.75" thickTop="1" x14ac:dyDescent="0.25">
      <c r="E8" s="26">
        <f>IF(F8="","",ROW(A1)+580)</f>
        <v>581</v>
      </c>
      <c r="F8" s="27">
        <v>43101</v>
      </c>
      <c r="G8" s="28">
        <v>10428692110</v>
      </c>
      <c r="H8" s="28" t="str">
        <f t="shared" ref="H8:H14" si="0">IF(G8="","",VLOOKUP(G8,acinfo,2,0))</f>
        <v>Current Account</v>
      </c>
      <c r="I8" s="28">
        <f t="shared" ref="I8:I14" si="1">IF(G8="","",VLOOKUP(G8,acinfo,3,0))</f>
        <v>1</v>
      </c>
      <c r="J8" s="28" t="str">
        <f t="shared" ref="J8:J15" si="2">IF(G8="","",VLOOKUP(G8,acinfo,4,0))</f>
        <v>HBL</v>
      </c>
      <c r="K8" s="28" t="str">
        <f t="shared" ref="K8:K14" si="3">IF(G8="","",VLOOKUP(G8,acinfo,5,0))</f>
        <v>Jannah Bazaar</v>
      </c>
      <c r="L8" s="29">
        <v>60000</v>
      </c>
      <c r="M8" s="30" t="s">
        <v>26</v>
      </c>
    </row>
    <row r="9" spans="5:13" x14ac:dyDescent="0.25">
      <c r="E9" s="16">
        <f>IF(F9="","",ROW(A2)+580)</f>
        <v>582</v>
      </c>
      <c r="F9" s="17">
        <v>43222</v>
      </c>
      <c r="G9" s="18">
        <v>10428962104</v>
      </c>
      <c r="H9" s="18" t="str">
        <f t="shared" si="0"/>
        <v>Saving Account</v>
      </c>
      <c r="I9" s="18">
        <f t="shared" si="1"/>
        <v>2</v>
      </c>
      <c r="J9" s="18" t="str">
        <f t="shared" si="2"/>
        <v>UBL</v>
      </c>
      <c r="K9" s="18" t="str">
        <f t="shared" si="3"/>
        <v>People's Colony</v>
      </c>
      <c r="L9" s="19">
        <v>45000</v>
      </c>
      <c r="M9" s="20" t="s">
        <v>27</v>
      </c>
    </row>
    <row r="10" spans="5:13" x14ac:dyDescent="0.25">
      <c r="E10" s="16">
        <f>IF(F10="","",ROW(A3)+580)</f>
        <v>583</v>
      </c>
      <c r="F10" s="17">
        <v>43196</v>
      </c>
      <c r="G10" s="18">
        <v>10428943525</v>
      </c>
      <c r="H10" s="18" t="str">
        <f t="shared" si="0"/>
        <v>Current Account</v>
      </c>
      <c r="I10" s="18">
        <f t="shared" si="1"/>
        <v>3</v>
      </c>
      <c r="J10" s="18" t="str">
        <f t="shared" si="2"/>
        <v>ABL</v>
      </c>
      <c r="K10" s="18" t="str">
        <f t="shared" si="3"/>
        <v>Bank Square</v>
      </c>
      <c r="L10" s="19">
        <v>35000</v>
      </c>
      <c r="M10" s="20" t="s">
        <v>28</v>
      </c>
    </row>
    <row r="11" spans="5:13" x14ac:dyDescent="0.25">
      <c r="E11" s="16">
        <f>IF(F11="","",ROW(A4)+580)</f>
        <v>584</v>
      </c>
      <c r="F11" s="17">
        <v>43256</v>
      </c>
      <c r="G11" s="18">
        <v>10428643629</v>
      </c>
      <c r="H11" s="18" t="str">
        <f t="shared" si="0"/>
        <v>Saving Account</v>
      </c>
      <c r="I11" s="18">
        <f t="shared" si="1"/>
        <v>4</v>
      </c>
      <c r="J11" s="18" t="str">
        <f t="shared" si="2"/>
        <v>SBL</v>
      </c>
      <c r="K11" s="18" t="str">
        <f t="shared" si="3"/>
        <v>Wapda Town</v>
      </c>
      <c r="L11" s="19">
        <v>25000</v>
      </c>
      <c r="M11" s="20" t="s">
        <v>27</v>
      </c>
    </row>
    <row r="12" spans="5:13" x14ac:dyDescent="0.25">
      <c r="E12" s="16">
        <f t="shared" ref="E12:E14" si="4">IF(F12="","",ROW(A6)+580)</f>
        <v>586</v>
      </c>
      <c r="F12" s="17">
        <v>43322</v>
      </c>
      <c r="G12" s="18">
        <v>10428952865</v>
      </c>
      <c r="H12" s="18" t="str">
        <f t="shared" si="0"/>
        <v>Current Account</v>
      </c>
      <c r="I12" s="18">
        <f t="shared" si="1"/>
        <v>5</v>
      </c>
      <c r="J12" s="18" t="str">
        <f t="shared" si="2"/>
        <v>PBL</v>
      </c>
      <c r="K12" s="18" t="str">
        <f t="shared" si="3"/>
        <v>Model Towm</v>
      </c>
      <c r="L12" s="19">
        <v>20000</v>
      </c>
      <c r="M12" s="20" t="s">
        <v>26</v>
      </c>
    </row>
    <row r="13" spans="5:13" x14ac:dyDescent="0.25">
      <c r="E13" s="16">
        <f t="shared" si="4"/>
        <v>587</v>
      </c>
      <c r="F13" s="17">
        <v>43362</v>
      </c>
      <c r="G13" s="18">
        <v>10428549634</v>
      </c>
      <c r="H13" s="18" t="str">
        <f t="shared" si="0"/>
        <v>Saving Account</v>
      </c>
      <c r="I13" s="18">
        <f t="shared" si="1"/>
        <v>6</v>
      </c>
      <c r="J13" s="18" t="str">
        <f t="shared" si="2"/>
        <v>MCB</v>
      </c>
      <c r="K13" s="18" t="str">
        <f t="shared" si="3"/>
        <v>Setlite Town</v>
      </c>
      <c r="L13" s="19">
        <v>17000</v>
      </c>
      <c r="M13" s="20" t="s">
        <v>28</v>
      </c>
    </row>
    <row r="14" spans="5:13" ht="15.75" thickBot="1" x14ac:dyDescent="0.3">
      <c r="E14" s="21">
        <f t="shared" si="4"/>
        <v>588</v>
      </c>
      <c r="F14" s="22">
        <v>43366</v>
      </c>
      <c r="G14" s="23">
        <v>10428695648</v>
      </c>
      <c r="H14" s="23" t="str">
        <f t="shared" si="0"/>
        <v>Current Account</v>
      </c>
      <c r="I14" s="23">
        <f t="shared" si="1"/>
        <v>7</v>
      </c>
      <c r="J14" s="23" t="str">
        <f t="shared" si="2"/>
        <v>JS</v>
      </c>
      <c r="K14" s="23" t="str">
        <f t="shared" si="3"/>
        <v>Gondlawala</v>
      </c>
      <c r="L14" s="24">
        <v>12000</v>
      </c>
      <c r="M14" s="25" t="s">
        <v>26</v>
      </c>
    </row>
    <row r="15" spans="5:13" ht="15.75" thickTop="1" x14ac:dyDescent="0.25">
      <c r="E15" s="1" t="str">
        <f t="shared" ref="E15:E41" si="5">IF(F15="","",ROW(A10)+580)</f>
        <v/>
      </c>
      <c r="F15" s="11"/>
      <c r="G15" s="1"/>
      <c r="H15" s="1" t="str">
        <f t="shared" ref="H15:H42" si="6">IF(G15="","",VLOOKUP(G15,acinfo,2,0))</f>
        <v/>
      </c>
      <c r="I15" s="1" t="str">
        <f t="shared" ref="I15:I42" si="7">IF(G15="","",VLOOKUP(G15,acinfo,3,0))</f>
        <v/>
      </c>
      <c r="J15" s="1" t="str">
        <f t="shared" si="2"/>
        <v/>
      </c>
      <c r="K15" s="1" t="str">
        <f t="shared" ref="K15:K43" si="8">IF(G15="","",VLOOKUP(G15,acinfo,5,0))</f>
        <v/>
      </c>
      <c r="L15" s="12"/>
      <c r="M15" s="12"/>
    </row>
    <row r="16" spans="5:13" x14ac:dyDescent="0.25">
      <c r="E16" s="1" t="str">
        <f t="shared" si="5"/>
        <v/>
      </c>
      <c r="F16" s="11"/>
      <c r="G16" s="1"/>
      <c r="H16" s="1" t="str">
        <f t="shared" si="6"/>
        <v/>
      </c>
      <c r="I16" s="1" t="str">
        <f t="shared" si="7"/>
        <v/>
      </c>
      <c r="J16" s="1" t="str">
        <f t="shared" ref="J16:J42" si="9">IF(G16="","",VLOOKUP(G16,acinfo,4,0))</f>
        <v/>
      </c>
      <c r="K16" s="1" t="str">
        <f t="shared" si="8"/>
        <v/>
      </c>
      <c r="L16" s="12"/>
      <c r="M16" s="12"/>
    </row>
    <row r="17" spans="5:13" x14ac:dyDescent="0.25">
      <c r="E17" s="1" t="str">
        <f t="shared" si="5"/>
        <v/>
      </c>
      <c r="F17" s="11"/>
      <c r="G17" s="1"/>
      <c r="H17" s="1" t="str">
        <f t="shared" si="6"/>
        <v/>
      </c>
      <c r="I17" s="1" t="str">
        <f t="shared" si="7"/>
        <v/>
      </c>
      <c r="J17" s="1" t="str">
        <f t="shared" si="9"/>
        <v/>
      </c>
      <c r="K17" s="1" t="str">
        <f t="shared" si="8"/>
        <v/>
      </c>
      <c r="L17" s="12"/>
      <c r="M17" s="12"/>
    </row>
    <row r="18" spans="5:13" x14ac:dyDescent="0.25">
      <c r="E18" s="1" t="str">
        <f t="shared" si="5"/>
        <v/>
      </c>
      <c r="F18" s="11"/>
      <c r="G18" s="1"/>
      <c r="H18" s="1" t="str">
        <f t="shared" si="6"/>
        <v/>
      </c>
      <c r="I18" s="1" t="str">
        <f t="shared" si="7"/>
        <v/>
      </c>
      <c r="J18" s="1" t="str">
        <f t="shared" si="9"/>
        <v/>
      </c>
      <c r="K18" s="1" t="str">
        <f t="shared" si="8"/>
        <v/>
      </c>
      <c r="L18" s="12"/>
      <c r="M18" s="12"/>
    </row>
    <row r="19" spans="5:13" x14ac:dyDescent="0.25">
      <c r="E19" s="1" t="str">
        <f t="shared" si="5"/>
        <v/>
      </c>
      <c r="F19" s="11"/>
      <c r="G19" s="1"/>
      <c r="H19" s="1" t="str">
        <f t="shared" si="6"/>
        <v/>
      </c>
      <c r="I19" s="1" t="str">
        <f t="shared" si="7"/>
        <v/>
      </c>
      <c r="J19" s="1" t="str">
        <f t="shared" si="9"/>
        <v/>
      </c>
      <c r="K19" s="1" t="str">
        <f t="shared" si="8"/>
        <v/>
      </c>
      <c r="L19" s="12"/>
      <c r="M19" s="12"/>
    </row>
    <row r="20" spans="5:13" x14ac:dyDescent="0.25">
      <c r="E20" s="1" t="str">
        <f t="shared" si="5"/>
        <v/>
      </c>
      <c r="F20" s="11"/>
      <c r="G20" s="1"/>
      <c r="H20" s="1" t="str">
        <f t="shared" si="6"/>
        <v/>
      </c>
      <c r="I20" s="1" t="str">
        <f t="shared" si="7"/>
        <v/>
      </c>
      <c r="J20" s="1" t="str">
        <f t="shared" si="9"/>
        <v/>
      </c>
      <c r="K20" s="1" t="str">
        <f t="shared" si="8"/>
        <v/>
      </c>
      <c r="L20" s="12"/>
      <c r="M20" s="12"/>
    </row>
    <row r="21" spans="5:13" x14ac:dyDescent="0.25">
      <c r="E21" s="1" t="str">
        <f t="shared" si="5"/>
        <v/>
      </c>
      <c r="F21" s="11"/>
      <c r="G21" s="1"/>
      <c r="H21" s="1" t="str">
        <f t="shared" si="6"/>
        <v/>
      </c>
      <c r="I21" s="1" t="str">
        <f t="shared" si="7"/>
        <v/>
      </c>
      <c r="J21" s="1" t="str">
        <f t="shared" si="9"/>
        <v/>
      </c>
      <c r="K21" s="1" t="str">
        <f t="shared" si="8"/>
        <v/>
      </c>
      <c r="L21" s="12"/>
      <c r="M21" s="12"/>
    </row>
    <row r="22" spans="5:13" x14ac:dyDescent="0.25">
      <c r="E22" s="1" t="str">
        <f t="shared" si="5"/>
        <v/>
      </c>
      <c r="F22" s="11"/>
      <c r="G22" s="1"/>
      <c r="H22" s="1" t="str">
        <f t="shared" si="6"/>
        <v/>
      </c>
      <c r="I22" s="1" t="str">
        <f t="shared" si="7"/>
        <v/>
      </c>
      <c r="J22" s="1" t="str">
        <f t="shared" si="9"/>
        <v/>
      </c>
      <c r="K22" s="1" t="str">
        <f t="shared" si="8"/>
        <v/>
      </c>
      <c r="L22" s="12"/>
      <c r="M22" s="12"/>
    </row>
    <row r="23" spans="5:13" x14ac:dyDescent="0.25">
      <c r="E23" s="1" t="str">
        <f t="shared" si="5"/>
        <v/>
      </c>
      <c r="F23" s="11"/>
      <c r="G23" s="1"/>
      <c r="H23" s="1" t="str">
        <f t="shared" si="6"/>
        <v/>
      </c>
      <c r="I23" s="1" t="str">
        <f t="shared" si="7"/>
        <v/>
      </c>
      <c r="J23" s="1" t="str">
        <f t="shared" si="9"/>
        <v/>
      </c>
      <c r="K23" s="1" t="str">
        <f t="shared" si="8"/>
        <v/>
      </c>
      <c r="L23" s="12"/>
      <c r="M23" s="12"/>
    </row>
    <row r="24" spans="5:13" x14ac:dyDescent="0.25">
      <c r="E24" s="1" t="str">
        <f t="shared" si="5"/>
        <v/>
      </c>
      <c r="F24" s="11"/>
      <c r="G24" s="1"/>
      <c r="H24" s="1" t="str">
        <f t="shared" si="6"/>
        <v/>
      </c>
      <c r="I24" s="1" t="str">
        <f t="shared" si="7"/>
        <v/>
      </c>
      <c r="J24" s="1" t="str">
        <f t="shared" si="9"/>
        <v/>
      </c>
      <c r="K24" s="1" t="str">
        <f t="shared" si="8"/>
        <v/>
      </c>
      <c r="L24" s="12"/>
      <c r="M24" s="12"/>
    </row>
    <row r="25" spans="5:13" x14ac:dyDescent="0.25">
      <c r="E25" s="1" t="str">
        <f t="shared" si="5"/>
        <v/>
      </c>
      <c r="F25" s="11"/>
      <c r="G25" s="1"/>
      <c r="H25" s="1" t="str">
        <f t="shared" si="6"/>
        <v/>
      </c>
      <c r="I25" s="1" t="str">
        <f t="shared" si="7"/>
        <v/>
      </c>
      <c r="J25" s="1" t="str">
        <f t="shared" si="9"/>
        <v/>
      </c>
      <c r="K25" s="1" t="str">
        <f t="shared" si="8"/>
        <v/>
      </c>
      <c r="L25" s="12"/>
      <c r="M25" s="12"/>
    </row>
    <row r="26" spans="5:13" x14ac:dyDescent="0.25">
      <c r="E26" s="1" t="str">
        <f t="shared" si="5"/>
        <v/>
      </c>
      <c r="F26" s="11"/>
      <c r="G26" s="1"/>
      <c r="H26" s="1" t="str">
        <f t="shared" si="6"/>
        <v/>
      </c>
      <c r="I26" s="1" t="str">
        <f t="shared" si="7"/>
        <v/>
      </c>
      <c r="J26" s="1" t="str">
        <f t="shared" si="9"/>
        <v/>
      </c>
      <c r="K26" s="1" t="str">
        <f t="shared" si="8"/>
        <v/>
      </c>
      <c r="L26" s="12"/>
      <c r="M26" s="12"/>
    </row>
    <row r="27" spans="5:13" x14ac:dyDescent="0.25">
      <c r="E27" s="1" t="str">
        <f t="shared" si="5"/>
        <v/>
      </c>
      <c r="F27" s="11"/>
      <c r="G27" s="1"/>
      <c r="H27" s="1" t="str">
        <f t="shared" si="6"/>
        <v/>
      </c>
      <c r="I27" s="1" t="str">
        <f t="shared" si="7"/>
        <v/>
      </c>
      <c r="J27" s="1" t="str">
        <f t="shared" si="9"/>
        <v/>
      </c>
      <c r="K27" s="1" t="str">
        <f t="shared" si="8"/>
        <v/>
      </c>
      <c r="L27" s="12"/>
      <c r="M27" s="12"/>
    </row>
    <row r="28" spans="5:13" x14ac:dyDescent="0.25">
      <c r="E28" s="1" t="str">
        <f t="shared" si="5"/>
        <v/>
      </c>
      <c r="F28" s="11"/>
      <c r="G28" s="1"/>
      <c r="H28" s="1" t="str">
        <f t="shared" si="6"/>
        <v/>
      </c>
      <c r="I28" s="1" t="str">
        <f t="shared" si="7"/>
        <v/>
      </c>
      <c r="J28" s="1" t="str">
        <f t="shared" si="9"/>
        <v/>
      </c>
      <c r="K28" s="1" t="str">
        <f t="shared" si="8"/>
        <v/>
      </c>
      <c r="L28" s="12"/>
      <c r="M28" s="12"/>
    </row>
    <row r="29" spans="5:13" x14ac:dyDescent="0.25">
      <c r="E29" s="1" t="str">
        <f t="shared" si="5"/>
        <v/>
      </c>
      <c r="F29" s="11"/>
      <c r="G29" s="1"/>
      <c r="H29" s="1" t="str">
        <f t="shared" si="6"/>
        <v/>
      </c>
      <c r="I29" s="1" t="str">
        <f t="shared" si="7"/>
        <v/>
      </c>
      <c r="J29" s="1" t="str">
        <f t="shared" si="9"/>
        <v/>
      </c>
      <c r="K29" s="1" t="str">
        <f t="shared" si="8"/>
        <v/>
      </c>
      <c r="L29" s="12"/>
      <c r="M29" s="12"/>
    </row>
    <row r="30" spans="5:13" x14ac:dyDescent="0.25">
      <c r="E30" s="1" t="str">
        <f t="shared" si="5"/>
        <v/>
      </c>
      <c r="F30" s="11"/>
      <c r="G30" s="1"/>
      <c r="H30" s="1" t="str">
        <f t="shared" si="6"/>
        <v/>
      </c>
      <c r="I30" s="1" t="str">
        <f t="shared" si="7"/>
        <v/>
      </c>
      <c r="J30" s="1" t="str">
        <f t="shared" si="9"/>
        <v/>
      </c>
      <c r="K30" s="1" t="str">
        <f t="shared" si="8"/>
        <v/>
      </c>
      <c r="L30" s="12"/>
      <c r="M30" s="12"/>
    </row>
    <row r="31" spans="5:13" x14ac:dyDescent="0.25">
      <c r="E31" s="1" t="str">
        <f t="shared" si="5"/>
        <v/>
      </c>
      <c r="F31" s="11"/>
      <c r="G31" s="1"/>
      <c r="H31" s="1" t="str">
        <f t="shared" si="6"/>
        <v/>
      </c>
      <c r="I31" s="1" t="str">
        <f t="shared" si="7"/>
        <v/>
      </c>
      <c r="J31" s="1" t="str">
        <f t="shared" si="9"/>
        <v/>
      </c>
      <c r="K31" s="1" t="str">
        <f t="shared" si="8"/>
        <v/>
      </c>
      <c r="L31" s="12"/>
      <c r="M31" s="12"/>
    </row>
    <row r="32" spans="5:13" x14ac:dyDescent="0.25">
      <c r="E32" s="1" t="str">
        <f t="shared" si="5"/>
        <v/>
      </c>
      <c r="F32" s="11"/>
      <c r="G32" s="1"/>
      <c r="H32" s="1" t="str">
        <f t="shared" si="6"/>
        <v/>
      </c>
      <c r="I32" s="1" t="str">
        <f t="shared" si="7"/>
        <v/>
      </c>
      <c r="J32" s="1" t="str">
        <f t="shared" si="9"/>
        <v/>
      </c>
      <c r="K32" s="1" t="str">
        <f t="shared" si="8"/>
        <v/>
      </c>
      <c r="L32" s="12"/>
      <c r="M32" s="12"/>
    </row>
    <row r="33" spans="5:13" x14ac:dyDescent="0.25">
      <c r="E33" s="1" t="str">
        <f t="shared" si="5"/>
        <v/>
      </c>
      <c r="F33" s="11"/>
      <c r="G33" s="1"/>
      <c r="H33" s="1" t="str">
        <f t="shared" si="6"/>
        <v/>
      </c>
      <c r="I33" s="1" t="str">
        <f t="shared" si="7"/>
        <v/>
      </c>
      <c r="J33" s="1" t="str">
        <f t="shared" si="9"/>
        <v/>
      </c>
      <c r="K33" s="1" t="str">
        <f t="shared" si="8"/>
        <v/>
      </c>
      <c r="L33" s="12"/>
      <c r="M33" s="12"/>
    </row>
    <row r="34" spans="5:13" x14ac:dyDescent="0.25">
      <c r="E34" s="1" t="str">
        <f t="shared" si="5"/>
        <v/>
      </c>
      <c r="F34" s="11"/>
      <c r="G34" s="1"/>
      <c r="H34" s="1" t="str">
        <f t="shared" si="6"/>
        <v/>
      </c>
      <c r="I34" s="1" t="str">
        <f t="shared" si="7"/>
        <v/>
      </c>
      <c r="J34" s="1" t="str">
        <f t="shared" si="9"/>
        <v/>
      </c>
      <c r="K34" s="1" t="str">
        <f t="shared" si="8"/>
        <v/>
      </c>
      <c r="L34" s="12"/>
      <c r="M34" s="12"/>
    </row>
    <row r="35" spans="5:13" x14ac:dyDescent="0.25">
      <c r="E35" s="1" t="str">
        <f t="shared" si="5"/>
        <v/>
      </c>
      <c r="F35" s="11"/>
      <c r="G35" s="1"/>
      <c r="H35" s="1" t="str">
        <f t="shared" si="6"/>
        <v/>
      </c>
      <c r="I35" s="1" t="str">
        <f t="shared" si="7"/>
        <v/>
      </c>
      <c r="J35" s="1" t="str">
        <f t="shared" si="9"/>
        <v/>
      </c>
      <c r="K35" s="1" t="str">
        <f t="shared" si="8"/>
        <v/>
      </c>
      <c r="L35" s="12"/>
      <c r="M35" s="12"/>
    </row>
    <row r="36" spans="5:13" x14ac:dyDescent="0.25">
      <c r="E36" s="1" t="str">
        <f t="shared" si="5"/>
        <v/>
      </c>
      <c r="F36" s="11"/>
      <c r="G36" s="1"/>
      <c r="H36" s="1" t="str">
        <f t="shared" si="6"/>
        <v/>
      </c>
      <c r="I36" s="1" t="str">
        <f t="shared" si="7"/>
        <v/>
      </c>
      <c r="J36" s="1" t="str">
        <f t="shared" si="9"/>
        <v/>
      </c>
      <c r="K36" s="1" t="str">
        <f t="shared" si="8"/>
        <v/>
      </c>
      <c r="L36" s="12"/>
      <c r="M36" s="12"/>
    </row>
    <row r="37" spans="5:13" x14ac:dyDescent="0.25">
      <c r="E37" s="1" t="str">
        <f t="shared" si="5"/>
        <v/>
      </c>
      <c r="F37" s="11"/>
      <c r="G37" s="1"/>
      <c r="H37" s="1" t="str">
        <f t="shared" si="6"/>
        <v/>
      </c>
      <c r="I37" s="1" t="str">
        <f t="shared" si="7"/>
        <v/>
      </c>
      <c r="J37" s="1" t="str">
        <f t="shared" si="9"/>
        <v/>
      </c>
      <c r="K37" s="1" t="str">
        <f t="shared" si="8"/>
        <v/>
      </c>
      <c r="L37" s="12"/>
      <c r="M37" s="12"/>
    </row>
    <row r="38" spans="5:13" x14ac:dyDescent="0.25">
      <c r="E38" s="1" t="str">
        <f t="shared" si="5"/>
        <v/>
      </c>
      <c r="F38" s="11"/>
      <c r="G38" s="1"/>
      <c r="H38" s="1" t="str">
        <f t="shared" si="6"/>
        <v/>
      </c>
      <c r="I38" s="1" t="str">
        <f t="shared" si="7"/>
        <v/>
      </c>
      <c r="J38" s="1" t="str">
        <f t="shared" si="9"/>
        <v/>
      </c>
      <c r="K38" s="1" t="str">
        <f t="shared" si="8"/>
        <v/>
      </c>
      <c r="L38" s="12"/>
      <c r="M38" s="12"/>
    </row>
    <row r="39" spans="5:13" x14ac:dyDescent="0.25">
      <c r="E39" s="1" t="str">
        <f t="shared" si="5"/>
        <v/>
      </c>
      <c r="F39" s="11"/>
      <c r="G39" s="1"/>
      <c r="H39" s="1" t="str">
        <f t="shared" si="6"/>
        <v/>
      </c>
      <c r="I39" s="1" t="str">
        <f t="shared" si="7"/>
        <v/>
      </c>
      <c r="J39" s="1" t="str">
        <f t="shared" si="9"/>
        <v/>
      </c>
      <c r="K39" s="1" t="str">
        <f t="shared" si="8"/>
        <v/>
      </c>
      <c r="L39" s="12"/>
      <c r="M39" s="12"/>
    </row>
    <row r="40" spans="5:13" x14ac:dyDescent="0.25">
      <c r="E40" s="1" t="str">
        <f t="shared" si="5"/>
        <v/>
      </c>
      <c r="F40" s="11"/>
      <c r="G40" s="1"/>
      <c r="H40" s="1" t="str">
        <f t="shared" si="6"/>
        <v/>
      </c>
      <c r="I40" s="1" t="str">
        <f t="shared" si="7"/>
        <v/>
      </c>
      <c r="J40" s="1" t="str">
        <f t="shared" si="9"/>
        <v/>
      </c>
      <c r="K40" s="1" t="str">
        <f t="shared" si="8"/>
        <v/>
      </c>
      <c r="L40" s="12"/>
      <c r="M40" s="12"/>
    </row>
    <row r="41" spans="5:13" x14ac:dyDescent="0.25">
      <c r="E41" s="1" t="str">
        <f t="shared" si="5"/>
        <v/>
      </c>
      <c r="F41" s="11"/>
      <c r="G41" s="1"/>
      <c r="H41" s="1" t="str">
        <f t="shared" si="6"/>
        <v/>
      </c>
      <c r="I41" s="1" t="str">
        <f t="shared" si="7"/>
        <v/>
      </c>
      <c r="J41" s="1" t="str">
        <f t="shared" si="9"/>
        <v/>
      </c>
      <c r="K41" s="1" t="str">
        <f t="shared" si="8"/>
        <v/>
      </c>
      <c r="L41" s="12"/>
      <c r="M41" s="12"/>
    </row>
    <row r="42" spans="5:13" x14ac:dyDescent="0.25">
      <c r="E42" s="1"/>
      <c r="F42" s="13"/>
      <c r="G42" s="1"/>
      <c r="H42" s="1" t="str">
        <f t="shared" si="6"/>
        <v/>
      </c>
      <c r="I42" s="1" t="str">
        <f t="shared" si="7"/>
        <v/>
      </c>
      <c r="J42" s="1" t="str">
        <f t="shared" si="9"/>
        <v/>
      </c>
      <c r="K42" s="1" t="str">
        <f t="shared" si="8"/>
        <v/>
      </c>
      <c r="L42" s="12"/>
      <c r="M42" s="12"/>
    </row>
    <row r="43" spans="5:13" x14ac:dyDescent="0.25">
      <c r="K43" t="str">
        <f t="shared" si="8"/>
        <v/>
      </c>
    </row>
  </sheetData>
  <mergeCells count="1">
    <mergeCell ref="F2:L4"/>
  </mergeCells>
  <dataValidations count="3">
    <dataValidation type="list" allowBlank="1" showInputMessage="1" showErrorMessage="1" sqref="G15:G25">
      <formula1>acac</formula1>
    </dataValidation>
    <dataValidation type="list" allowBlank="1" showInputMessage="1" showErrorMessage="1" sqref="M8:M14 M15:M42">
      <formula1>"CASH,ONLINE,CHEQUE"</formula1>
    </dataValidation>
    <dataValidation type="list" allowBlank="1" showInputMessage="1" showErrorMessage="1" sqref="G8:G14">
      <formula1>anac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M42"/>
  <sheetViews>
    <sheetView topLeftCell="C1" workbookViewId="0">
      <selection activeCell="C14" sqref="C14"/>
    </sheetView>
  </sheetViews>
  <sheetFormatPr defaultRowHeight="15" x14ac:dyDescent="0.25"/>
  <cols>
    <col min="5" max="5" width="12.140625" bestFit="1" customWidth="1"/>
    <col min="6" max="6" width="14.5703125" bestFit="1" customWidth="1"/>
    <col min="7" max="7" width="12" bestFit="1" customWidth="1"/>
    <col min="8" max="8" width="15.42578125" bestFit="1" customWidth="1"/>
    <col min="9" max="9" width="7.5703125" bestFit="1" customWidth="1"/>
    <col min="10" max="10" width="11" bestFit="1" customWidth="1"/>
    <col min="11" max="11" width="12.7109375" bestFit="1" customWidth="1"/>
    <col min="12" max="12" width="17.7109375" bestFit="1" customWidth="1"/>
    <col min="13" max="13" width="17" bestFit="1" customWidth="1"/>
  </cols>
  <sheetData>
    <row r="2" spans="5:13" x14ac:dyDescent="0.25">
      <c r="F2" s="66" t="s">
        <v>53</v>
      </c>
      <c r="G2" s="53"/>
      <c r="H2" s="53"/>
      <c r="I2" s="53"/>
      <c r="J2" s="53"/>
      <c r="K2" s="53"/>
      <c r="L2" s="53"/>
    </row>
    <row r="3" spans="5:13" x14ac:dyDescent="0.25">
      <c r="F3" s="53"/>
      <c r="G3" s="53"/>
      <c r="H3" s="53"/>
      <c r="I3" s="53"/>
      <c r="J3" s="53"/>
      <c r="K3" s="53"/>
      <c r="L3" s="53"/>
    </row>
    <row r="4" spans="5:13" x14ac:dyDescent="0.25">
      <c r="F4" s="53"/>
      <c r="G4" s="53"/>
      <c r="H4" s="53"/>
      <c r="I4" s="53"/>
      <c r="J4" s="53"/>
      <c r="K4" s="53"/>
      <c r="L4" s="53"/>
    </row>
    <row r="5" spans="5:13" ht="15.75" thickBot="1" x14ac:dyDescent="0.3"/>
    <row r="6" spans="5:13" ht="16.5" thickTop="1" thickBot="1" x14ac:dyDescent="0.3">
      <c r="E6" s="31" t="s">
        <v>22</v>
      </c>
      <c r="F6" s="33" t="s">
        <v>23</v>
      </c>
      <c r="G6" s="33" t="s">
        <v>13</v>
      </c>
      <c r="H6" s="33" t="s">
        <v>14</v>
      </c>
      <c r="I6" s="33" t="s">
        <v>0</v>
      </c>
      <c r="J6" s="33" t="s">
        <v>1</v>
      </c>
      <c r="K6" s="33" t="s">
        <v>2</v>
      </c>
      <c r="L6" s="33" t="s">
        <v>24</v>
      </c>
      <c r="M6" s="34" t="s">
        <v>21</v>
      </c>
    </row>
    <row r="7" spans="5:13" ht="15.75" thickTop="1" x14ac:dyDescent="0.25">
      <c r="E7" s="26">
        <f>IF(F7="","",ROW()+59)</f>
        <v>66</v>
      </c>
      <c r="F7" s="39">
        <v>43344</v>
      </c>
      <c r="G7" s="28">
        <v>10428692110</v>
      </c>
      <c r="H7" s="28" t="str">
        <f t="shared" ref="H7:H41" si="0">IF(G7="","",VLOOKUP(G7,acinfo,2,0))</f>
        <v>Current Account</v>
      </c>
      <c r="I7" s="28">
        <f t="shared" ref="I7:I41" si="1">IF(G7="","",VLOOKUP(G7,acinfo,3,0))</f>
        <v>1</v>
      </c>
      <c r="J7" s="28" t="str">
        <f t="shared" ref="J7:J41" si="2">IF(G7="","",VLOOKUP(G7,acinfo,4,0))</f>
        <v>HBL</v>
      </c>
      <c r="K7" s="28" t="str">
        <f t="shared" ref="K7:K42" si="3">IF(G7="","",VLOOKUP(G7,acinfo,5,0))</f>
        <v>Jannah Bazaar</v>
      </c>
      <c r="L7" s="29">
        <v>50000</v>
      </c>
      <c r="M7" s="40" t="s">
        <v>28</v>
      </c>
    </row>
    <row r="8" spans="5:13" x14ac:dyDescent="0.25">
      <c r="E8" s="16">
        <f t="shared" ref="E8:E42" si="4">IF(F8="","",ROW()+59)</f>
        <v>67</v>
      </c>
      <c r="F8" s="35">
        <v>43315</v>
      </c>
      <c r="G8" s="18">
        <v>10428962104</v>
      </c>
      <c r="H8" s="18" t="str">
        <f t="shared" si="0"/>
        <v>Saving Account</v>
      </c>
      <c r="I8" s="18">
        <f t="shared" si="1"/>
        <v>2</v>
      </c>
      <c r="J8" s="18" t="str">
        <f t="shared" si="2"/>
        <v>UBL</v>
      </c>
      <c r="K8" s="18" t="str">
        <f t="shared" si="3"/>
        <v>People's Colony</v>
      </c>
      <c r="L8" s="19">
        <v>35000</v>
      </c>
      <c r="M8" s="36" t="s">
        <v>26</v>
      </c>
    </row>
    <row r="9" spans="5:13" x14ac:dyDescent="0.25">
      <c r="E9" s="16">
        <f t="shared" si="4"/>
        <v>68</v>
      </c>
      <c r="F9" s="35">
        <v>43309</v>
      </c>
      <c r="G9" s="18">
        <v>10428943525</v>
      </c>
      <c r="H9" s="18" t="str">
        <f t="shared" si="0"/>
        <v>Current Account</v>
      </c>
      <c r="I9" s="18">
        <f t="shared" si="1"/>
        <v>3</v>
      </c>
      <c r="J9" s="18" t="str">
        <f t="shared" si="2"/>
        <v>ABL</v>
      </c>
      <c r="K9" s="18" t="str">
        <f t="shared" si="3"/>
        <v>Bank Square</v>
      </c>
      <c r="L9" s="19">
        <v>22000</v>
      </c>
      <c r="M9" s="36" t="s">
        <v>27</v>
      </c>
    </row>
    <row r="10" spans="5:13" x14ac:dyDescent="0.25">
      <c r="E10" s="16">
        <f t="shared" si="4"/>
        <v>69</v>
      </c>
      <c r="F10" s="35">
        <v>43338</v>
      </c>
      <c r="G10" s="18">
        <v>10428643629</v>
      </c>
      <c r="H10" s="18" t="str">
        <f t="shared" si="0"/>
        <v>Saving Account</v>
      </c>
      <c r="I10" s="18">
        <f t="shared" si="1"/>
        <v>4</v>
      </c>
      <c r="J10" s="18" t="str">
        <f t="shared" si="2"/>
        <v>SBL</v>
      </c>
      <c r="K10" s="18" t="str">
        <f t="shared" si="3"/>
        <v>Wapda Town</v>
      </c>
      <c r="L10" s="19">
        <v>16000</v>
      </c>
      <c r="M10" s="36" t="s">
        <v>26</v>
      </c>
    </row>
    <row r="11" spans="5:13" x14ac:dyDescent="0.25">
      <c r="E11" s="16">
        <f t="shared" si="4"/>
        <v>70</v>
      </c>
      <c r="F11" s="35">
        <v>43358</v>
      </c>
      <c r="G11" s="18">
        <v>10428952865</v>
      </c>
      <c r="H11" s="18" t="str">
        <f t="shared" si="0"/>
        <v>Current Account</v>
      </c>
      <c r="I11" s="18">
        <f t="shared" si="1"/>
        <v>5</v>
      </c>
      <c r="J11" s="18" t="str">
        <f t="shared" si="2"/>
        <v>PBL</v>
      </c>
      <c r="K11" s="18" t="str">
        <f t="shared" si="3"/>
        <v>Model Towm</v>
      </c>
      <c r="L11" s="19">
        <v>13000</v>
      </c>
      <c r="M11" s="36" t="s">
        <v>27</v>
      </c>
    </row>
    <row r="12" spans="5:13" x14ac:dyDescent="0.25">
      <c r="E12" s="16">
        <f t="shared" si="4"/>
        <v>71</v>
      </c>
      <c r="F12" s="35">
        <v>43363</v>
      </c>
      <c r="G12" s="18">
        <v>10428549634</v>
      </c>
      <c r="H12" s="18" t="str">
        <f t="shared" si="0"/>
        <v>Saving Account</v>
      </c>
      <c r="I12" s="18">
        <f t="shared" si="1"/>
        <v>6</v>
      </c>
      <c r="J12" s="18" t="str">
        <f t="shared" si="2"/>
        <v>MCB</v>
      </c>
      <c r="K12" s="18" t="str">
        <f t="shared" si="3"/>
        <v>Setlite Town</v>
      </c>
      <c r="L12" s="19">
        <v>10000</v>
      </c>
      <c r="M12" s="36" t="s">
        <v>28</v>
      </c>
    </row>
    <row r="13" spans="5:13" ht="15.75" thickBot="1" x14ac:dyDescent="0.3">
      <c r="E13" s="21">
        <f t="shared" si="4"/>
        <v>72</v>
      </c>
      <c r="F13" s="37">
        <v>43364</v>
      </c>
      <c r="G13" s="23">
        <v>10428695648</v>
      </c>
      <c r="H13" s="23" t="str">
        <f t="shared" si="0"/>
        <v>Current Account</v>
      </c>
      <c r="I13" s="23">
        <f t="shared" si="1"/>
        <v>7</v>
      </c>
      <c r="J13" s="23" t="str">
        <f t="shared" si="2"/>
        <v>JS</v>
      </c>
      <c r="K13" s="23" t="str">
        <f t="shared" si="3"/>
        <v>Gondlawala</v>
      </c>
      <c r="L13" s="24">
        <v>5000</v>
      </c>
      <c r="M13" s="38" t="s">
        <v>27</v>
      </c>
    </row>
    <row r="14" spans="5:13" ht="15.75" thickTop="1" x14ac:dyDescent="0.25">
      <c r="E14" s="1" t="str">
        <f t="shared" si="4"/>
        <v/>
      </c>
      <c r="F14" s="15"/>
      <c r="G14" s="1"/>
      <c r="H14" s="1" t="str">
        <f t="shared" si="0"/>
        <v/>
      </c>
      <c r="I14" s="1" t="str">
        <f t="shared" si="1"/>
        <v/>
      </c>
      <c r="J14" s="1" t="str">
        <f t="shared" si="2"/>
        <v/>
      </c>
      <c r="K14" s="1" t="str">
        <f t="shared" si="3"/>
        <v/>
      </c>
      <c r="L14" s="12"/>
      <c r="M14" s="1"/>
    </row>
    <row r="15" spans="5:13" x14ac:dyDescent="0.25">
      <c r="E15" s="1" t="str">
        <f t="shared" si="4"/>
        <v/>
      </c>
      <c r="F15" s="15"/>
      <c r="G15" s="1"/>
      <c r="H15" s="1" t="str">
        <f t="shared" si="0"/>
        <v/>
      </c>
      <c r="I15" s="1" t="str">
        <f t="shared" si="1"/>
        <v/>
      </c>
      <c r="J15" s="1" t="str">
        <f t="shared" si="2"/>
        <v/>
      </c>
      <c r="K15" s="1" t="str">
        <f t="shared" si="3"/>
        <v/>
      </c>
      <c r="L15" s="12"/>
      <c r="M15" s="1"/>
    </row>
    <row r="16" spans="5:13" x14ac:dyDescent="0.25">
      <c r="E16" s="1" t="str">
        <f t="shared" si="4"/>
        <v/>
      </c>
      <c r="F16" s="15"/>
      <c r="G16" s="1"/>
      <c r="H16" s="1" t="str">
        <f t="shared" si="0"/>
        <v/>
      </c>
      <c r="I16" s="1" t="str">
        <f t="shared" si="1"/>
        <v/>
      </c>
      <c r="J16" s="1" t="str">
        <f t="shared" si="2"/>
        <v/>
      </c>
      <c r="K16" s="1" t="str">
        <f t="shared" si="3"/>
        <v/>
      </c>
      <c r="L16" s="12"/>
      <c r="M16" s="1"/>
    </row>
    <row r="17" spans="5:13" x14ac:dyDescent="0.25">
      <c r="E17" s="1" t="str">
        <f t="shared" si="4"/>
        <v/>
      </c>
      <c r="F17" s="15"/>
      <c r="G17" s="1"/>
      <c r="H17" s="1" t="str">
        <f t="shared" si="0"/>
        <v/>
      </c>
      <c r="I17" s="1" t="str">
        <f t="shared" si="1"/>
        <v/>
      </c>
      <c r="J17" s="1" t="str">
        <f t="shared" si="2"/>
        <v/>
      </c>
      <c r="K17" s="1" t="str">
        <f t="shared" si="3"/>
        <v/>
      </c>
      <c r="L17" s="12"/>
      <c r="M17" s="1"/>
    </row>
    <row r="18" spans="5:13" x14ac:dyDescent="0.25">
      <c r="E18" s="1" t="str">
        <f t="shared" si="4"/>
        <v/>
      </c>
      <c r="F18" s="15"/>
      <c r="G18" s="1"/>
      <c r="H18" s="1" t="str">
        <f t="shared" si="0"/>
        <v/>
      </c>
      <c r="I18" s="1" t="str">
        <f t="shared" si="1"/>
        <v/>
      </c>
      <c r="J18" s="1" t="str">
        <f t="shared" si="2"/>
        <v/>
      </c>
      <c r="K18" s="1" t="str">
        <f t="shared" si="3"/>
        <v/>
      </c>
      <c r="L18" s="12"/>
      <c r="M18" s="1"/>
    </row>
    <row r="19" spans="5:13" x14ac:dyDescent="0.25">
      <c r="E19" s="1" t="str">
        <f t="shared" si="4"/>
        <v/>
      </c>
      <c r="F19" s="15"/>
      <c r="G19" s="1"/>
      <c r="H19" s="1" t="str">
        <f t="shared" si="0"/>
        <v/>
      </c>
      <c r="I19" s="1" t="str">
        <f t="shared" si="1"/>
        <v/>
      </c>
      <c r="J19" s="1" t="str">
        <f t="shared" si="2"/>
        <v/>
      </c>
      <c r="K19" s="1" t="str">
        <f t="shared" si="3"/>
        <v/>
      </c>
      <c r="L19" s="12"/>
      <c r="M19" s="1"/>
    </row>
    <row r="20" spans="5:13" x14ac:dyDescent="0.25">
      <c r="E20" s="1" t="str">
        <f t="shared" si="4"/>
        <v/>
      </c>
      <c r="F20" s="15"/>
      <c r="G20" s="1"/>
      <c r="H20" s="1" t="str">
        <f t="shared" si="0"/>
        <v/>
      </c>
      <c r="I20" s="1" t="str">
        <f t="shared" si="1"/>
        <v/>
      </c>
      <c r="J20" s="1" t="str">
        <f t="shared" si="2"/>
        <v/>
      </c>
      <c r="K20" s="1" t="str">
        <f t="shared" si="3"/>
        <v/>
      </c>
      <c r="L20" s="12"/>
      <c r="M20" s="1"/>
    </row>
    <row r="21" spans="5:13" x14ac:dyDescent="0.25">
      <c r="E21" s="1" t="str">
        <f t="shared" si="4"/>
        <v/>
      </c>
      <c r="F21" s="15"/>
      <c r="G21" s="1"/>
      <c r="H21" s="1" t="str">
        <f t="shared" si="0"/>
        <v/>
      </c>
      <c r="I21" s="1" t="str">
        <f t="shared" si="1"/>
        <v/>
      </c>
      <c r="J21" s="1" t="str">
        <f t="shared" si="2"/>
        <v/>
      </c>
      <c r="K21" s="1" t="str">
        <f t="shared" si="3"/>
        <v/>
      </c>
      <c r="L21" s="12"/>
      <c r="M21" s="1"/>
    </row>
    <row r="22" spans="5:13" x14ac:dyDescent="0.25">
      <c r="E22" s="1" t="str">
        <f t="shared" si="4"/>
        <v/>
      </c>
      <c r="F22" s="15"/>
      <c r="G22" s="1"/>
      <c r="H22" s="1" t="str">
        <f t="shared" si="0"/>
        <v/>
      </c>
      <c r="I22" s="1" t="str">
        <f t="shared" si="1"/>
        <v/>
      </c>
      <c r="J22" s="1" t="str">
        <f t="shared" si="2"/>
        <v/>
      </c>
      <c r="K22" s="1" t="str">
        <f t="shared" si="3"/>
        <v/>
      </c>
      <c r="L22" s="12"/>
      <c r="M22" s="1"/>
    </row>
    <row r="23" spans="5:13" x14ac:dyDescent="0.25">
      <c r="E23" s="1" t="str">
        <f t="shared" si="4"/>
        <v/>
      </c>
      <c r="F23" s="15"/>
      <c r="G23" s="1"/>
      <c r="H23" s="1" t="str">
        <f t="shared" si="0"/>
        <v/>
      </c>
      <c r="I23" s="1" t="str">
        <f t="shared" si="1"/>
        <v/>
      </c>
      <c r="J23" s="1" t="str">
        <f t="shared" si="2"/>
        <v/>
      </c>
      <c r="K23" s="1" t="str">
        <f t="shared" si="3"/>
        <v/>
      </c>
      <c r="L23" s="12"/>
      <c r="M23" s="1"/>
    </row>
    <row r="24" spans="5:13" x14ac:dyDescent="0.25">
      <c r="E24" s="1" t="str">
        <f t="shared" si="4"/>
        <v/>
      </c>
      <c r="F24" s="15"/>
      <c r="G24" s="1"/>
      <c r="H24" s="1" t="str">
        <f t="shared" si="0"/>
        <v/>
      </c>
      <c r="I24" s="1" t="str">
        <f t="shared" si="1"/>
        <v/>
      </c>
      <c r="J24" s="1" t="str">
        <f t="shared" si="2"/>
        <v/>
      </c>
      <c r="K24" s="1" t="str">
        <f t="shared" si="3"/>
        <v/>
      </c>
      <c r="L24" s="12"/>
      <c r="M24" s="1"/>
    </row>
    <row r="25" spans="5:13" x14ac:dyDescent="0.25">
      <c r="E25" s="1" t="str">
        <f t="shared" si="4"/>
        <v/>
      </c>
      <c r="F25" s="15"/>
      <c r="G25" s="1"/>
      <c r="H25" s="1" t="str">
        <f t="shared" si="0"/>
        <v/>
      </c>
      <c r="I25" s="1" t="str">
        <f t="shared" si="1"/>
        <v/>
      </c>
      <c r="J25" s="1" t="str">
        <f t="shared" si="2"/>
        <v/>
      </c>
      <c r="K25" s="1" t="str">
        <f t="shared" si="3"/>
        <v/>
      </c>
      <c r="L25" s="12"/>
      <c r="M25" s="1"/>
    </row>
    <row r="26" spans="5:13" x14ac:dyDescent="0.25">
      <c r="E26" s="1" t="str">
        <f t="shared" si="4"/>
        <v/>
      </c>
      <c r="F26" s="15"/>
      <c r="G26" s="1"/>
      <c r="H26" s="1" t="str">
        <f t="shared" si="0"/>
        <v/>
      </c>
      <c r="I26" s="1" t="str">
        <f t="shared" si="1"/>
        <v/>
      </c>
      <c r="J26" s="1" t="str">
        <f t="shared" si="2"/>
        <v/>
      </c>
      <c r="K26" s="1" t="str">
        <f t="shared" si="3"/>
        <v/>
      </c>
      <c r="L26" s="12"/>
      <c r="M26" s="1"/>
    </row>
    <row r="27" spans="5:13" x14ac:dyDescent="0.25">
      <c r="E27" s="1" t="str">
        <f t="shared" si="4"/>
        <v/>
      </c>
      <c r="F27" s="15"/>
      <c r="G27" s="1"/>
      <c r="H27" s="1" t="str">
        <f t="shared" si="0"/>
        <v/>
      </c>
      <c r="I27" s="1" t="str">
        <f t="shared" si="1"/>
        <v/>
      </c>
      <c r="J27" s="1" t="str">
        <f t="shared" si="2"/>
        <v/>
      </c>
      <c r="K27" s="1" t="str">
        <f t="shared" si="3"/>
        <v/>
      </c>
      <c r="L27" s="12"/>
      <c r="M27" s="1"/>
    </row>
    <row r="28" spans="5:13" x14ac:dyDescent="0.25">
      <c r="E28" s="1" t="str">
        <f t="shared" si="4"/>
        <v/>
      </c>
      <c r="F28" s="15"/>
      <c r="G28" s="1"/>
      <c r="H28" s="1" t="str">
        <f t="shared" si="0"/>
        <v/>
      </c>
      <c r="I28" s="1" t="str">
        <f t="shared" si="1"/>
        <v/>
      </c>
      <c r="J28" s="1" t="str">
        <f t="shared" si="2"/>
        <v/>
      </c>
      <c r="K28" s="1" t="str">
        <f t="shared" si="3"/>
        <v/>
      </c>
      <c r="L28" s="12"/>
      <c r="M28" s="1"/>
    </row>
    <row r="29" spans="5:13" x14ac:dyDescent="0.25">
      <c r="E29" s="1" t="str">
        <f t="shared" si="4"/>
        <v/>
      </c>
      <c r="F29" s="15"/>
      <c r="G29" s="1"/>
      <c r="H29" s="1" t="str">
        <f t="shared" si="0"/>
        <v/>
      </c>
      <c r="I29" s="1" t="str">
        <f t="shared" si="1"/>
        <v/>
      </c>
      <c r="J29" s="1" t="str">
        <f t="shared" si="2"/>
        <v/>
      </c>
      <c r="K29" s="1" t="str">
        <f t="shared" si="3"/>
        <v/>
      </c>
      <c r="L29" s="12"/>
      <c r="M29" s="1"/>
    </row>
    <row r="30" spans="5:13" x14ac:dyDescent="0.25">
      <c r="E30" s="1" t="str">
        <f t="shared" si="4"/>
        <v/>
      </c>
      <c r="F30" s="15"/>
      <c r="G30" s="1"/>
      <c r="H30" s="1" t="str">
        <f t="shared" si="0"/>
        <v/>
      </c>
      <c r="I30" s="1" t="str">
        <f t="shared" si="1"/>
        <v/>
      </c>
      <c r="J30" s="1" t="str">
        <f t="shared" si="2"/>
        <v/>
      </c>
      <c r="K30" s="1" t="str">
        <f t="shared" si="3"/>
        <v/>
      </c>
      <c r="L30" s="12"/>
      <c r="M30" s="1"/>
    </row>
    <row r="31" spans="5:13" x14ac:dyDescent="0.25">
      <c r="E31" s="1" t="str">
        <f t="shared" si="4"/>
        <v/>
      </c>
      <c r="F31" s="15"/>
      <c r="G31" s="1"/>
      <c r="H31" s="1" t="str">
        <f t="shared" si="0"/>
        <v/>
      </c>
      <c r="I31" s="1" t="str">
        <f t="shared" si="1"/>
        <v/>
      </c>
      <c r="J31" s="1" t="str">
        <f t="shared" si="2"/>
        <v/>
      </c>
      <c r="K31" s="1" t="str">
        <f t="shared" si="3"/>
        <v/>
      </c>
      <c r="L31" s="12"/>
      <c r="M31" s="1"/>
    </row>
    <row r="32" spans="5:13" x14ac:dyDescent="0.25">
      <c r="E32" s="1" t="str">
        <f t="shared" si="4"/>
        <v/>
      </c>
      <c r="F32" s="15"/>
      <c r="G32" s="1"/>
      <c r="H32" s="1" t="str">
        <f t="shared" si="0"/>
        <v/>
      </c>
      <c r="I32" s="1" t="str">
        <f t="shared" si="1"/>
        <v/>
      </c>
      <c r="J32" s="1" t="str">
        <f t="shared" si="2"/>
        <v/>
      </c>
      <c r="K32" s="1" t="str">
        <f t="shared" si="3"/>
        <v/>
      </c>
      <c r="L32" s="12"/>
      <c r="M32" s="1"/>
    </row>
    <row r="33" spans="5:13" x14ac:dyDescent="0.25">
      <c r="E33" s="1" t="str">
        <f t="shared" si="4"/>
        <v/>
      </c>
      <c r="F33" s="15"/>
      <c r="G33" s="1"/>
      <c r="H33" s="1" t="str">
        <f t="shared" si="0"/>
        <v/>
      </c>
      <c r="I33" s="1" t="str">
        <f t="shared" si="1"/>
        <v/>
      </c>
      <c r="J33" s="1" t="str">
        <f t="shared" si="2"/>
        <v/>
      </c>
      <c r="K33" s="1" t="str">
        <f t="shared" si="3"/>
        <v/>
      </c>
      <c r="L33" s="12"/>
      <c r="M33" s="1"/>
    </row>
    <row r="34" spans="5:13" x14ac:dyDescent="0.25">
      <c r="E34" s="1" t="str">
        <f t="shared" si="4"/>
        <v/>
      </c>
      <c r="F34" s="15"/>
      <c r="G34" s="1"/>
      <c r="H34" s="1" t="str">
        <f t="shared" si="0"/>
        <v/>
      </c>
      <c r="I34" s="1" t="str">
        <f t="shared" si="1"/>
        <v/>
      </c>
      <c r="J34" s="1" t="str">
        <f t="shared" si="2"/>
        <v/>
      </c>
      <c r="K34" s="1" t="str">
        <f t="shared" si="3"/>
        <v/>
      </c>
      <c r="L34" s="12"/>
      <c r="M34" s="1"/>
    </row>
    <row r="35" spans="5:13" x14ac:dyDescent="0.25">
      <c r="E35" s="1" t="str">
        <f t="shared" si="4"/>
        <v/>
      </c>
      <c r="F35" s="15"/>
      <c r="G35" s="1"/>
      <c r="H35" s="1" t="str">
        <f t="shared" si="0"/>
        <v/>
      </c>
      <c r="I35" s="1" t="str">
        <f t="shared" si="1"/>
        <v/>
      </c>
      <c r="J35" s="1" t="str">
        <f t="shared" si="2"/>
        <v/>
      </c>
      <c r="K35" s="1" t="str">
        <f t="shared" si="3"/>
        <v/>
      </c>
      <c r="L35" s="12"/>
      <c r="M35" s="1"/>
    </row>
    <row r="36" spans="5:13" x14ac:dyDescent="0.25">
      <c r="E36" s="1" t="str">
        <f t="shared" si="4"/>
        <v/>
      </c>
      <c r="F36" s="15"/>
      <c r="G36" s="1"/>
      <c r="H36" s="1" t="str">
        <f t="shared" si="0"/>
        <v/>
      </c>
      <c r="I36" s="1" t="str">
        <f t="shared" si="1"/>
        <v/>
      </c>
      <c r="J36" s="1" t="str">
        <f t="shared" si="2"/>
        <v/>
      </c>
      <c r="K36" s="1" t="str">
        <f t="shared" si="3"/>
        <v/>
      </c>
      <c r="L36" s="12"/>
      <c r="M36" s="1"/>
    </row>
    <row r="37" spans="5:13" x14ac:dyDescent="0.25">
      <c r="E37" s="1" t="str">
        <f t="shared" si="4"/>
        <v/>
      </c>
      <c r="F37" s="15"/>
      <c r="G37" s="1"/>
      <c r="H37" s="1" t="str">
        <f t="shared" si="0"/>
        <v/>
      </c>
      <c r="I37" s="1" t="str">
        <f t="shared" si="1"/>
        <v/>
      </c>
      <c r="J37" s="1" t="str">
        <f t="shared" si="2"/>
        <v/>
      </c>
      <c r="K37" s="1" t="str">
        <f t="shared" si="3"/>
        <v/>
      </c>
      <c r="L37" s="12"/>
      <c r="M37" s="1"/>
    </row>
    <row r="38" spans="5:13" x14ac:dyDescent="0.25">
      <c r="E38" s="1" t="str">
        <f t="shared" si="4"/>
        <v/>
      </c>
      <c r="F38" s="15"/>
      <c r="G38" s="1"/>
      <c r="H38" s="1" t="str">
        <f t="shared" si="0"/>
        <v/>
      </c>
      <c r="I38" s="1" t="str">
        <f t="shared" si="1"/>
        <v/>
      </c>
      <c r="J38" s="1" t="str">
        <f t="shared" si="2"/>
        <v/>
      </c>
      <c r="K38" s="1" t="str">
        <f t="shared" si="3"/>
        <v/>
      </c>
      <c r="L38" s="12"/>
      <c r="M38" s="1"/>
    </row>
    <row r="39" spans="5:13" x14ac:dyDescent="0.25">
      <c r="E39" s="1" t="str">
        <f t="shared" si="4"/>
        <v/>
      </c>
      <c r="F39" s="15"/>
      <c r="G39" s="1"/>
      <c r="H39" s="1" t="str">
        <f t="shared" si="0"/>
        <v/>
      </c>
      <c r="I39" s="1" t="str">
        <f t="shared" si="1"/>
        <v/>
      </c>
      <c r="J39" s="1" t="str">
        <f t="shared" si="2"/>
        <v/>
      </c>
      <c r="K39" s="1" t="str">
        <f t="shared" si="3"/>
        <v/>
      </c>
      <c r="L39" s="12"/>
      <c r="M39" s="1"/>
    </row>
    <row r="40" spans="5:13" x14ac:dyDescent="0.25">
      <c r="E40" s="1" t="str">
        <f t="shared" si="4"/>
        <v/>
      </c>
      <c r="F40" s="15"/>
      <c r="G40" s="1"/>
      <c r="H40" s="1" t="str">
        <f t="shared" si="0"/>
        <v/>
      </c>
      <c r="I40" s="1" t="str">
        <f t="shared" si="1"/>
        <v/>
      </c>
      <c r="J40" s="1" t="str">
        <f t="shared" si="2"/>
        <v/>
      </c>
      <c r="K40" s="1" t="str">
        <f t="shared" si="3"/>
        <v/>
      </c>
      <c r="L40" s="12"/>
      <c r="M40" s="1"/>
    </row>
    <row r="41" spans="5:13" x14ac:dyDescent="0.25">
      <c r="E41" s="1" t="str">
        <f t="shared" si="4"/>
        <v/>
      </c>
      <c r="F41" s="15"/>
      <c r="G41" s="1"/>
      <c r="H41" s="1" t="str">
        <f t="shared" si="0"/>
        <v/>
      </c>
      <c r="I41" s="1" t="str">
        <f t="shared" si="1"/>
        <v/>
      </c>
      <c r="J41" s="1" t="str">
        <f t="shared" si="2"/>
        <v/>
      </c>
      <c r="K41" s="1" t="str">
        <f t="shared" si="3"/>
        <v/>
      </c>
      <c r="L41" s="12"/>
      <c r="M41" s="1"/>
    </row>
    <row r="42" spans="5:13" x14ac:dyDescent="0.25">
      <c r="E42" t="str">
        <f t="shared" si="4"/>
        <v/>
      </c>
      <c r="F42" s="14"/>
      <c r="K42" s="1" t="str">
        <f t="shared" si="3"/>
        <v/>
      </c>
    </row>
  </sheetData>
  <mergeCells count="1">
    <mergeCell ref="F2:L4"/>
  </mergeCells>
  <dataValidations count="2">
    <dataValidation type="list" allowBlank="1" showInputMessage="1" showErrorMessage="1" sqref="G7:G41">
      <formula1>anac</formula1>
    </dataValidation>
    <dataValidation type="list" allowBlank="1" showInputMessage="1" showErrorMessage="1" sqref="M7:M41">
      <formula1>"CASH,CHEQUE,ONLINE"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J23"/>
  <sheetViews>
    <sheetView zoomScale="115" zoomScaleNormal="115" workbookViewId="0">
      <selection activeCell="C14" sqref="C14"/>
    </sheetView>
  </sheetViews>
  <sheetFormatPr defaultRowHeight="15" x14ac:dyDescent="0.25"/>
  <cols>
    <col min="5" max="5" width="11.7109375" bestFit="1" customWidth="1"/>
    <col min="6" max="6" width="13.5703125" bestFit="1" customWidth="1"/>
    <col min="7" max="7" width="15.7109375" bestFit="1" customWidth="1"/>
    <col min="8" max="8" width="22.85546875" bestFit="1" customWidth="1"/>
    <col min="9" max="9" width="25" bestFit="1" customWidth="1"/>
    <col min="10" max="10" width="23.5703125" bestFit="1" customWidth="1"/>
    <col min="11" max="11" width="25" bestFit="1" customWidth="1"/>
  </cols>
  <sheetData>
    <row r="5" spans="4:10" x14ac:dyDescent="0.25">
      <c r="D5" s="1"/>
      <c r="E5" s="1"/>
      <c r="F5" s="1"/>
      <c r="G5" s="1"/>
      <c r="H5" s="1"/>
      <c r="I5" s="1"/>
      <c r="J5" s="1"/>
    </row>
    <row r="6" spans="4:10" x14ac:dyDescent="0.25">
      <c r="D6" s="1"/>
      <c r="E6" s="44" t="s">
        <v>13</v>
      </c>
      <c r="F6" s="1" t="s">
        <v>29</v>
      </c>
      <c r="G6" s="1"/>
      <c r="H6" s="1"/>
      <c r="I6" s="1"/>
      <c r="J6" s="1"/>
    </row>
    <row r="7" spans="4:10" x14ac:dyDescent="0.25">
      <c r="D7" s="1"/>
      <c r="E7" s="1"/>
      <c r="F7" s="1"/>
      <c r="G7" s="1"/>
      <c r="H7" s="1"/>
      <c r="I7" s="1"/>
      <c r="J7" s="1"/>
    </row>
    <row r="8" spans="4:10" x14ac:dyDescent="0.25">
      <c r="E8" s="44" t="s">
        <v>0</v>
      </c>
      <c r="F8" s="44" t="s">
        <v>1</v>
      </c>
      <c r="G8" s="44" t="s">
        <v>2</v>
      </c>
      <c r="H8" s="44" t="s">
        <v>15</v>
      </c>
      <c r="I8" s="44" t="s">
        <v>16</v>
      </c>
      <c r="J8" s="1" t="s">
        <v>49</v>
      </c>
    </row>
    <row r="9" spans="4:10" x14ac:dyDescent="0.25">
      <c r="E9" s="1">
        <v>1</v>
      </c>
      <c r="F9" s="1" t="s">
        <v>5</v>
      </c>
      <c r="G9" s="1" t="s">
        <v>42</v>
      </c>
      <c r="H9" s="1">
        <v>60000</v>
      </c>
      <c r="I9" s="1">
        <v>50000</v>
      </c>
      <c r="J9" s="43">
        <v>10000</v>
      </c>
    </row>
    <row r="10" spans="4:10" x14ac:dyDescent="0.25">
      <c r="E10" s="1">
        <v>2</v>
      </c>
      <c r="F10" s="1" t="s">
        <v>6</v>
      </c>
      <c r="G10" s="1" t="s">
        <v>43</v>
      </c>
      <c r="H10" s="1">
        <v>45000</v>
      </c>
      <c r="I10" s="1">
        <v>35000</v>
      </c>
      <c r="J10" s="43">
        <v>10000</v>
      </c>
    </row>
    <row r="11" spans="4:10" x14ac:dyDescent="0.25">
      <c r="E11" s="1">
        <v>3</v>
      </c>
      <c r="F11" s="1" t="s">
        <v>7</v>
      </c>
      <c r="G11" s="1" t="s">
        <v>44</v>
      </c>
      <c r="H11" s="1">
        <v>35000</v>
      </c>
      <c r="I11" s="1">
        <v>22000</v>
      </c>
      <c r="J11" s="43">
        <v>13000</v>
      </c>
    </row>
    <row r="12" spans="4:10" x14ac:dyDescent="0.25">
      <c r="E12" s="1">
        <v>4</v>
      </c>
      <c r="F12" s="1" t="s">
        <v>8</v>
      </c>
      <c r="G12" s="1" t="s">
        <v>47</v>
      </c>
      <c r="H12" s="1">
        <v>25000</v>
      </c>
      <c r="I12" s="1">
        <v>16000</v>
      </c>
      <c r="J12" s="43">
        <v>9000</v>
      </c>
    </row>
    <row r="13" spans="4:10" x14ac:dyDescent="0.25">
      <c r="E13" s="1">
        <v>5</v>
      </c>
      <c r="F13" s="1" t="s">
        <v>9</v>
      </c>
      <c r="G13" s="1" t="s">
        <v>46</v>
      </c>
      <c r="H13" s="1">
        <v>20000</v>
      </c>
      <c r="I13" s="1">
        <v>13000</v>
      </c>
      <c r="J13" s="43">
        <v>7000</v>
      </c>
    </row>
    <row r="14" spans="4:10" x14ac:dyDescent="0.25">
      <c r="E14" s="1">
        <v>6</v>
      </c>
      <c r="F14" s="1" t="s">
        <v>10</v>
      </c>
      <c r="G14" s="1" t="s">
        <v>48</v>
      </c>
      <c r="H14" s="1">
        <v>17000</v>
      </c>
      <c r="I14" s="1">
        <v>10000</v>
      </c>
      <c r="J14" s="43">
        <v>7000</v>
      </c>
    </row>
    <row r="15" spans="4:10" x14ac:dyDescent="0.25">
      <c r="E15" s="1">
        <v>7</v>
      </c>
      <c r="F15" s="1" t="s">
        <v>25</v>
      </c>
      <c r="G15" s="1" t="s">
        <v>45</v>
      </c>
      <c r="H15" s="1">
        <v>12000</v>
      </c>
      <c r="I15" s="1">
        <v>5000</v>
      </c>
      <c r="J15" s="43">
        <v>7000</v>
      </c>
    </row>
    <row r="16" spans="4:10" x14ac:dyDescent="0.25">
      <c r="E16" s="1" t="s">
        <v>41</v>
      </c>
      <c r="F16" s="1" t="s">
        <v>40</v>
      </c>
      <c r="G16" s="1" t="s">
        <v>40</v>
      </c>
      <c r="H16" s="1" t="s">
        <v>41</v>
      </c>
      <c r="I16" s="1" t="s">
        <v>41</v>
      </c>
      <c r="J16" s="43"/>
    </row>
    <row r="17" spans="5:10" x14ac:dyDescent="0.25">
      <c r="E17" s="1" t="s">
        <v>31</v>
      </c>
      <c r="F17" s="1"/>
      <c r="G17" s="1"/>
      <c r="H17" s="1"/>
      <c r="I17" s="1"/>
      <c r="J17" s="43">
        <v>63000</v>
      </c>
    </row>
    <row r="18" spans="5:10" x14ac:dyDescent="0.25">
      <c r="E18" s="1"/>
      <c r="F18" s="1"/>
      <c r="G18" s="1"/>
      <c r="H18" s="1"/>
      <c r="I18" s="1"/>
      <c r="J18" s="1"/>
    </row>
    <row r="19" spans="5:10" x14ac:dyDescent="0.25">
      <c r="E19" s="1"/>
      <c r="F19" s="1"/>
      <c r="G19" s="1"/>
      <c r="H19" s="1"/>
      <c r="I19" s="1"/>
      <c r="J19" s="1"/>
    </row>
    <row r="20" spans="5:10" x14ac:dyDescent="0.25">
      <c r="E20" s="1"/>
      <c r="F20" s="1"/>
      <c r="G20" s="1"/>
      <c r="H20" s="1"/>
      <c r="I20" s="1"/>
      <c r="J20" s="1"/>
    </row>
    <row r="21" spans="5:10" x14ac:dyDescent="0.25">
      <c r="E21" s="1"/>
      <c r="F21" s="1"/>
      <c r="G21" s="1"/>
      <c r="H21" s="1"/>
      <c r="I21" s="1"/>
      <c r="J21" s="1"/>
    </row>
    <row r="22" spans="5:10" x14ac:dyDescent="0.25">
      <c r="E22" s="1"/>
      <c r="F22" s="1"/>
      <c r="G22" s="1"/>
      <c r="H22" s="1"/>
      <c r="I22" s="1"/>
      <c r="J22" s="1"/>
    </row>
    <row r="23" spans="5:10" x14ac:dyDescent="0.25">
      <c r="E23" s="1"/>
      <c r="F23" s="1"/>
      <c r="G23" s="1"/>
      <c r="H23" s="1"/>
      <c r="I23" s="1"/>
      <c r="J23" s="1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M23"/>
  <sheetViews>
    <sheetView workbookViewId="0">
      <selection activeCell="C21" sqref="C21"/>
    </sheetView>
  </sheetViews>
  <sheetFormatPr defaultRowHeight="15" x14ac:dyDescent="0.25"/>
  <cols>
    <col min="5" max="5" width="12.42578125" bestFit="1" customWidth="1"/>
    <col min="6" max="6" width="14.7109375" bestFit="1" customWidth="1"/>
    <col min="7" max="7" width="17.28515625" bestFit="1" customWidth="1"/>
    <col min="8" max="8" width="9.85546875" bestFit="1" customWidth="1"/>
    <col min="9" max="9" width="13.28515625" bestFit="1" customWidth="1"/>
    <col min="10" max="10" width="15" bestFit="1" customWidth="1"/>
    <col min="11" max="11" width="19.28515625" bestFit="1" customWidth="1"/>
    <col min="12" max="12" width="22.42578125" bestFit="1" customWidth="1"/>
    <col min="13" max="13" width="25" customWidth="1"/>
    <col min="14" max="15" width="32" bestFit="1" customWidth="1"/>
  </cols>
  <sheetData>
    <row r="6" spans="4:13" x14ac:dyDescent="0.25">
      <c r="D6" s="1"/>
      <c r="E6" s="1"/>
      <c r="F6" s="1"/>
      <c r="G6" s="1"/>
      <c r="H6" s="1"/>
      <c r="I6" s="1"/>
      <c r="J6" s="1"/>
      <c r="K6" s="1"/>
      <c r="L6" s="1"/>
      <c r="M6" s="1"/>
    </row>
    <row r="7" spans="4:13" x14ac:dyDescent="0.25">
      <c r="D7" s="1"/>
      <c r="E7" s="44" t="s">
        <v>13</v>
      </c>
      <c r="F7" s="1" t="s">
        <v>29</v>
      </c>
      <c r="G7" s="1"/>
      <c r="H7" s="1"/>
      <c r="I7" s="1"/>
      <c r="J7" s="1"/>
      <c r="K7" s="1"/>
      <c r="L7" s="1"/>
      <c r="M7" s="1"/>
    </row>
    <row r="8" spans="4:13" x14ac:dyDescent="0.25">
      <c r="D8" s="1"/>
      <c r="E8" s="1"/>
      <c r="F8" s="1"/>
      <c r="G8" s="1"/>
      <c r="H8" s="1"/>
      <c r="I8" s="1"/>
      <c r="J8" s="1"/>
      <c r="K8" s="1"/>
      <c r="L8" s="1"/>
      <c r="M8" s="1"/>
    </row>
    <row r="9" spans="4:13" x14ac:dyDescent="0.25">
      <c r="D9" s="1"/>
      <c r="E9" s="44" t="s">
        <v>11</v>
      </c>
      <c r="F9" s="44" t="s">
        <v>12</v>
      </c>
      <c r="G9" s="44" t="s">
        <v>14</v>
      </c>
      <c r="H9" s="44" t="s">
        <v>0</v>
      </c>
      <c r="I9" s="44" t="s">
        <v>1</v>
      </c>
      <c r="J9" s="44" t="s">
        <v>2</v>
      </c>
      <c r="K9" s="44" t="s">
        <v>21</v>
      </c>
      <c r="L9" s="1" t="s">
        <v>30</v>
      </c>
      <c r="M9" s="1"/>
    </row>
    <row r="10" spans="4:13" x14ac:dyDescent="0.25">
      <c r="D10" s="1"/>
      <c r="E10" s="1">
        <v>581</v>
      </c>
      <c r="F10" s="11">
        <v>43101</v>
      </c>
      <c r="G10" s="1" t="s">
        <v>18</v>
      </c>
      <c r="H10" s="1">
        <v>1</v>
      </c>
      <c r="I10" s="1" t="s">
        <v>5</v>
      </c>
      <c r="J10" s="1" t="s">
        <v>42</v>
      </c>
      <c r="K10" s="1" t="s">
        <v>26</v>
      </c>
      <c r="L10" s="43">
        <v>60000</v>
      </c>
      <c r="M10" s="1"/>
    </row>
    <row r="11" spans="4:13" x14ac:dyDescent="0.25">
      <c r="D11" s="1"/>
      <c r="E11" s="1">
        <v>582</v>
      </c>
      <c r="F11" s="11">
        <v>43222</v>
      </c>
      <c r="G11" s="1" t="s">
        <v>19</v>
      </c>
      <c r="H11" s="1">
        <v>2</v>
      </c>
      <c r="I11" s="1" t="s">
        <v>6</v>
      </c>
      <c r="J11" s="1" t="s">
        <v>43</v>
      </c>
      <c r="K11" s="1" t="s">
        <v>27</v>
      </c>
      <c r="L11" s="43">
        <v>45000</v>
      </c>
      <c r="M11" s="1"/>
    </row>
    <row r="12" spans="4:13" x14ac:dyDescent="0.25">
      <c r="D12" s="1"/>
      <c r="E12" s="1">
        <v>583</v>
      </c>
      <c r="F12" s="11">
        <v>43196</v>
      </c>
      <c r="G12" s="1" t="s">
        <v>18</v>
      </c>
      <c r="H12" s="1">
        <v>3</v>
      </c>
      <c r="I12" s="1" t="s">
        <v>7</v>
      </c>
      <c r="J12" s="1" t="s">
        <v>44</v>
      </c>
      <c r="K12" s="1" t="s">
        <v>28</v>
      </c>
      <c r="L12" s="43">
        <v>35000</v>
      </c>
      <c r="M12" s="1"/>
    </row>
    <row r="13" spans="4:13" x14ac:dyDescent="0.25">
      <c r="D13" s="1"/>
      <c r="E13" s="1">
        <v>584</v>
      </c>
      <c r="F13" s="11">
        <v>43256</v>
      </c>
      <c r="G13" s="1" t="s">
        <v>19</v>
      </c>
      <c r="H13" s="1">
        <v>4</v>
      </c>
      <c r="I13" s="1" t="s">
        <v>8</v>
      </c>
      <c r="J13" s="1" t="s">
        <v>47</v>
      </c>
      <c r="K13" s="1" t="s">
        <v>27</v>
      </c>
      <c r="L13" s="43">
        <v>25000</v>
      </c>
      <c r="M13" s="1"/>
    </row>
    <row r="14" spans="4:13" x14ac:dyDescent="0.25">
      <c r="D14" s="1"/>
      <c r="E14" s="1">
        <v>585</v>
      </c>
      <c r="F14" s="11">
        <v>43322</v>
      </c>
      <c r="G14" s="1" t="s">
        <v>18</v>
      </c>
      <c r="H14" s="1">
        <v>5</v>
      </c>
      <c r="I14" s="1" t="s">
        <v>9</v>
      </c>
      <c r="J14" s="1" t="s">
        <v>46</v>
      </c>
      <c r="K14" s="1" t="s">
        <v>26</v>
      </c>
      <c r="L14" s="43">
        <v>20000</v>
      </c>
      <c r="M14" s="1"/>
    </row>
    <row r="15" spans="4:13" x14ac:dyDescent="0.25">
      <c r="D15" s="1"/>
      <c r="E15" s="1">
        <v>586</v>
      </c>
      <c r="F15" s="11">
        <v>43362</v>
      </c>
      <c r="G15" s="1" t="s">
        <v>19</v>
      </c>
      <c r="H15" s="1">
        <v>6</v>
      </c>
      <c r="I15" s="1" t="s">
        <v>10</v>
      </c>
      <c r="J15" s="1" t="s">
        <v>48</v>
      </c>
      <c r="K15" s="1" t="s">
        <v>28</v>
      </c>
      <c r="L15" s="43">
        <v>17000</v>
      </c>
      <c r="M15" s="1"/>
    </row>
    <row r="16" spans="4:13" x14ac:dyDescent="0.25">
      <c r="D16" s="1"/>
      <c r="E16" s="1">
        <v>587</v>
      </c>
      <c r="F16" s="11">
        <v>43366</v>
      </c>
      <c r="G16" s="1" t="s">
        <v>18</v>
      </c>
      <c r="H16" s="1">
        <v>7</v>
      </c>
      <c r="I16" s="1" t="s">
        <v>25</v>
      </c>
      <c r="J16" s="1" t="s">
        <v>45</v>
      </c>
      <c r="K16" s="1" t="s">
        <v>26</v>
      </c>
      <c r="L16" s="43">
        <v>12000</v>
      </c>
      <c r="M16" s="1"/>
    </row>
    <row r="17" spans="4:13" x14ac:dyDescent="0.25">
      <c r="D17" s="1"/>
      <c r="E17" s="1" t="s">
        <v>40</v>
      </c>
      <c r="F17" s="11" t="s">
        <v>41</v>
      </c>
      <c r="G17" s="1" t="s">
        <v>40</v>
      </c>
      <c r="H17" s="1" t="s">
        <v>40</v>
      </c>
      <c r="I17" s="1" t="s">
        <v>40</v>
      </c>
      <c r="J17" s="1" t="s">
        <v>40</v>
      </c>
      <c r="K17" s="1" t="s">
        <v>41</v>
      </c>
      <c r="L17" s="43"/>
      <c r="M17" s="1"/>
    </row>
    <row r="18" spans="4:13" x14ac:dyDescent="0.25">
      <c r="D18" s="1"/>
      <c r="E18" s="1" t="s">
        <v>31</v>
      </c>
      <c r="F18" s="1"/>
      <c r="G18" s="1"/>
      <c r="H18" s="1"/>
      <c r="I18" s="1"/>
      <c r="J18" s="1"/>
      <c r="K18" s="1"/>
      <c r="L18" s="43">
        <v>214000</v>
      </c>
      <c r="M18" s="1"/>
    </row>
    <row r="19" spans="4:13" x14ac:dyDescent="0.25"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4:13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4:13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4:13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4:13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L17"/>
  <sheetViews>
    <sheetView workbookViewId="0">
      <selection activeCell="D18" sqref="D18"/>
    </sheetView>
  </sheetViews>
  <sheetFormatPr defaultRowHeight="15" x14ac:dyDescent="0.25"/>
  <cols>
    <col min="5" max="5" width="14.42578125" customWidth="1"/>
    <col min="6" max="6" width="16.85546875" customWidth="1"/>
    <col min="7" max="7" width="17.28515625" bestFit="1" customWidth="1"/>
    <col min="8" max="8" width="9.85546875" bestFit="1" customWidth="1"/>
    <col min="9" max="9" width="13.28515625" bestFit="1" customWidth="1"/>
    <col min="10" max="10" width="17.28515625" bestFit="1" customWidth="1"/>
    <col min="11" max="11" width="19.28515625" customWidth="1"/>
    <col min="12" max="12" width="24.42578125" customWidth="1"/>
    <col min="13" max="13" width="27" bestFit="1" customWidth="1"/>
  </cols>
  <sheetData>
    <row r="6" spans="5:12" x14ac:dyDescent="0.25">
      <c r="E6" s="41" t="s">
        <v>13</v>
      </c>
      <c r="F6" t="s">
        <v>29</v>
      </c>
    </row>
    <row r="8" spans="5:12" x14ac:dyDescent="0.25">
      <c r="E8" s="41" t="s">
        <v>22</v>
      </c>
      <c r="F8" s="41" t="s">
        <v>23</v>
      </c>
      <c r="G8" s="41" t="s">
        <v>14</v>
      </c>
      <c r="H8" s="41" t="s">
        <v>0</v>
      </c>
      <c r="I8" s="41" t="s">
        <v>1</v>
      </c>
      <c r="J8" s="41" t="s">
        <v>2</v>
      </c>
      <c r="K8" s="41" t="s">
        <v>21</v>
      </c>
      <c r="L8" t="s">
        <v>39</v>
      </c>
    </row>
    <row r="9" spans="5:12" x14ac:dyDescent="0.25">
      <c r="E9">
        <v>65</v>
      </c>
      <c r="F9" t="s">
        <v>32</v>
      </c>
      <c r="G9" t="s">
        <v>18</v>
      </c>
      <c r="H9">
        <v>1</v>
      </c>
      <c r="I9" t="s">
        <v>5</v>
      </c>
      <c r="J9" t="s">
        <v>42</v>
      </c>
      <c r="K9" t="s">
        <v>28</v>
      </c>
      <c r="L9" s="42">
        <v>50000</v>
      </c>
    </row>
    <row r="10" spans="5:12" x14ac:dyDescent="0.25">
      <c r="E10">
        <v>66</v>
      </c>
      <c r="F10" t="s">
        <v>33</v>
      </c>
      <c r="G10" t="s">
        <v>19</v>
      </c>
      <c r="H10">
        <v>2</v>
      </c>
      <c r="I10" t="s">
        <v>6</v>
      </c>
      <c r="J10" t="s">
        <v>43</v>
      </c>
      <c r="K10" t="s">
        <v>26</v>
      </c>
      <c r="L10" s="42">
        <v>35000</v>
      </c>
    </row>
    <row r="11" spans="5:12" x14ac:dyDescent="0.25">
      <c r="E11">
        <v>67</v>
      </c>
      <c r="F11" t="s">
        <v>34</v>
      </c>
      <c r="G11" t="s">
        <v>18</v>
      </c>
      <c r="H11">
        <v>3</v>
      </c>
      <c r="I11" t="s">
        <v>7</v>
      </c>
      <c r="J11" t="s">
        <v>44</v>
      </c>
      <c r="K11" t="s">
        <v>27</v>
      </c>
      <c r="L11" s="42">
        <v>22000</v>
      </c>
    </row>
    <row r="12" spans="5:12" x14ac:dyDescent="0.25">
      <c r="E12">
        <v>68</v>
      </c>
      <c r="F12" t="s">
        <v>35</v>
      </c>
      <c r="G12" t="s">
        <v>19</v>
      </c>
      <c r="H12">
        <v>4</v>
      </c>
      <c r="I12" t="s">
        <v>8</v>
      </c>
      <c r="J12" t="s">
        <v>47</v>
      </c>
      <c r="K12" t="s">
        <v>26</v>
      </c>
      <c r="L12" s="42">
        <v>16000</v>
      </c>
    </row>
    <row r="13" spans="5:12" x14ac:dyDescent="0.25">
      <c r="E13">
        <v>69</v>
      </c>
      <c r="F13" t="s">
        <v>36</v>
      </c>
      <c r="G13" t="s">
        <v>18</v>
      </c>
      <c r="H13">
        <v>5</v>
      </c>
      <c r="I13" t="s">
        <v>9</v>
      </c>
      <c r="J13" t="s">
        <v>46</v>
      </c>
      <c r="K13" t="s">
        <v>27</v>
      </c>
      <c r="L13" s="42">
        <v>13000</v>
      </c>
    </row>
    <row r="14" spans="5:12" x14ac:dyDescent="0.25">
      <c r="E14">
        <v>70</v>
      </c>
      <c r="F14" t="s">
        <v>37</v>
      </c>
      <c r="G14" t="s">
        <v>19</v>
      </c>
      <c r="H14">
        <v>6</v>
      </c>
      <c r="I14" t="s">
        <v>10</v>
      </c>
      <c r="J14" t="s">
        <v>48</v>
      </c>
      <c r="K14" t="s">
        <v>28</v>
      </c>
      <c r="L14" s="42">
        <v>10000</v>
      </c>
    </row>
    <row r="15" spans="5:12" x14ac:dyDescent="0.25">
      <c r="E15">
        <v>71</v>
      </c>
      <c r="F15" t="s">
        <v>38</v>
      </c>
      <c r="G15" t="s">
        <v>18</v>
      </c>
      <c r="H15">
        <v>7</v>
      </c>
      <c r="I15" t="s">
        <v>25</v>
      </c>
      <c r="J15" t="s">
        <v>45</v>
      </c>
      <c r="K15" t="s">
        <v>27</v>
      </c>
      <c r="L15" s="42">
        <v>5000</v>
      </c>
    </row>
    <row r="16" spans="5:12" x14ac:dyDescent="0.25">
      <c r="E16" t="s">
        <v>40</v>
      </c>
      <c r="F16" t="s">
        <v>41</v>
      </c>
      <c r="G16" t="s">
        <v>40</v>
      </c>
      <c r="H16" t="s">
        <v>40</v>
      </c>
      <c r="I16" t="s">
        <v>40</v>
      </c>
      <c r="J16" t="s">
        <v>40</v>
      </c>
      <c r="K16" t="s">
        <v>41</v>
      </c>
      <c r="L16" s="42"/>
    </row>
    <row r="17" spans="5:12" x14ac:dyDescent="0.25">
      <c r="E17" t="s">
        <v>31</v>
      </c>
      <c r="L17" s="42">
        <v>151000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15</vt:i4>
      </vt:variant>
    </vt:vector>
  </HeadingPairs>
  <TitlesOfParts>
    <vt:vector size="24" baseType="lpstr">
      <vt:lpstr>MAIN SHEET</vt:lpstr>
      <vt:lpstr>SWITCH BOARD</vt:lpstr>
      <vt:lpstr>Bank Info</vt:lpstr>
      <vt:lpstr>Account Info</vt:lpstr>
      <vt:lpstr>Deposit Info</vt:lpstr>
      <vt:lpstr>Withdraw INfo</vt:lpstr>
      <vt:lpstr>Report of account info</vt:lpstr>
      <vt:lpstr>Report of deposit</vt:lpstr>
      <vt:lpstr>Report of withdraw</vt:lpstr>
      <vt:lpstr>acac</vt:lpstr>
      <vt:lpstr>acinfo</vt:lpstr>
      <vt:lpstr>acno</vt:lpstr>
      <vt:lpstr>anac</vt:lpstr>
      <vt:lpstr>bkid</vt:lpstr>
      <vt:lpstr>bkinfo</vt:lpstr>
      <vt:lpstr>dein</vt:lpstr>
      <vt:lpstr>dpac</vt:lpstr>
      <vt:lpstr>dpam</vt:lpstr>
      <vt:lpstr>dpid</vt:lpstr>
      <vt:lpstr>tda</vt:lpstr>
      <vt:lpstr>twa</vt:lpstr>
      <vt:lpstr>wtac</vt:lpstr>
      <vt:lpstr>wtam</vt:lpstr>
      <vt:lpstr>wtinfo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s4b0434</dc:creator>
  <cp:lastModifiedBy>s4b0434</cp:lastModifiedBy>
  <dcterms:created xsi:type="dcterms:W3CDTF">2018-09-15T13:35:19Z</dcterms:created>
  <dcterms:modified xsi:type="dcterms:W3CDTF">2018-09-27T14:40:37Z</dcterms:modified>
</cp:coreProperties>
</file>